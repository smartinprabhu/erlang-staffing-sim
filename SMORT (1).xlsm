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ptino\Adhoc Planning\SL &amp; SLA Simulation\"/>
    </mc:Choice>
  </mc:AlternateContent>
  <xr:revisionPtr revIDLastSave="0" documentId="13_ncr:1_{DB2C057B-E984-4C6E-A860-D0C7A56E2EBB}" xr6:coauthVersionLast="47" xr6:coauthVersionMax="47" xr10:uidLastSave="{00000000-0000-0000-0000-000000000000}"/>
  <bookViews>
    <workbookView xWindow="-98" yWindow="-98" windowWidth="19396" windowHeight="11475" tabRatio="895" xr2:uid="{00000000-000D-0000-FFFF-FFFF00000000}"/>
  </bookViews>
  <sheets>
    <sheet name="Smort WFS" sheetId="109" r:id="rId1"/>
  </sheets>
  <definedNames>
    <definedName name="_165_Act">#REF!</definedName>
    <definedName name="_188_Consolidated">#REF!</definedName>
    <definedName name="_188_Prem_NonPrem">#REF!</definedName>
    <definedName name="AccessDatabase" hidden="1">"D:\Compensation\comp data 2001.xls"</definedName>
    <definedName name="AHT_Weekly">#REF!</definedName>
    <definedName name="Attrition">#REF!</definedName>
    <definedName name="Budget">#REF!</definedName>
    <definedName name="Consumer_Billing">#REF!</definedName>
    <definedName name="Enterprise_Billing">#REF!</definedName>
    <definedName name="HS">#REF!</definedName>
    <definedName name="Login_Leakage_Monthly">#REF!</definedName>
    <definedName name="Login_Leakage_Weekly">#REF!</definedName>
    <definedName name="NB_Monthly">#REF!</definedName>
    <definedName name="NB_Weekly">#REF!</definedName>
    <definedName name="No_Value">#REF!</definedName>
    <definedName name="Non_Billing_BO">#REF!</definedName>
    <definedName name="Outbound">#REF!</definedName>
    <definedName name="PostPaid">#REF!</definedName>
    <definedName name="Premium">#REF!</definedName>
    <definedName name="SAPBEXdnldView" hidden="1">"4GNL2K99MKYQAHB6141Z5X09K"</definedName>
    <definedName name="SAPBEXsysID" hidden="1">"BP1"</definedName>
    <definedName name="Throughput_Monthly">#REF!</definedName>
    <definedName name="Value">#REF!</definedName>
    <definedName name="Weekly_Shrinkag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6" i="109" l="1"/>
  <c r="B1" i="109"/>
  <c r="AZ1" i="109" l="1"/>
  <c r="B8" i="109"/>
  <c r="B9" i="109"/>
  <c r="B10" i="109"/>
  <c r="B11" i="109"/>
  <c r="B12" i="109"/>
  <c r="B13" i="109"/>
  <c r="B14" i="109"/>
  <c r="B15" i="109"/>
  <c r="B16" i="109"/>
  <c r="B17" i="109"/>
  <c r="B18" i="109"/>
  <c r="B19" i="109"/>
  <c r="B20" i="109"/>
  <c r="B21" i="109"/>
  <c r="B22" i="109"/>
  <c r="B23" i="109"/>
  <c r="B24" i="109"/>
  <c r="B25" i="109"/>
  <c r="B26" i="109"/>
  <c r="B27" i="109"/>
  <c r="B28" i="109"/>
  <c r="B29" i="109"/>
  <c r="B30" i="109"/>
  <c r="B31" i="109"/>
  <c r="B32" i="109"/>
  <c r="B33" i="109"/>
  <c r="B34" i="109"/>
  <c r="B35" i="109"/>
  <c r="B36" i="109"/>
  <c r="B37" i="109"/>
  <c r="B38" i="109"/>
  <c r="B39" i="109"/>
  <c r="B40" i="109"/>
  <c r="B41" i="109"/>
  <c r="B42" i="109"/>
  <c r="B43" i="109"/>
  <c r="B44" i="109"/>
  <c r="B45" i="109"/>
  <c r="B46" i="109"/>
  <c r="B47" i="109"/>
  <c r="B48" i="109"/>
  <c r="B49" i="109"/>
  <c r="B50" i="109"/>
  <c r="B51" i="109"/>
  <c r="B52" i="109"/>
  <c r="B53" i="109"/>
  <c r="B54" i="109"/>
  <c r="B7" i="109"/>
  <c r="BD8" i="109"/>
  <c r="BE8" i="109" s="1"/>
  <c r="BD9" i="109"/>
  <c r="BE9" i="109" s="1"/>
  <c r="BD10" i="109"/>
  <c r="BE10" i="109" s="1"/>
  <c r="BD11" i="109"/>
  <c r="BE11" i="109" s="1"/>
  <c r="BD12" i="109"/>
  <c r="BE12" i="109" s="1"/>
  <c r="BD13" i="109"/>
  <c r="BE13" i="109" s="1"/>
  <c r="BD14" i="109"/>
  <c r="BE14" i="109" s="1"/>
  <c r="BD15" i="109"/>
  <c r="BE15" i="109" s="1"/>
  <c r="BD16" i="109"/>
  <c r="BE16" i="109" s="1"/>
  <c r="BD17" i="109"/>
  <c r="BE17" i="109" s="1"/>
  <c r="BD18" i="109"/>
  <c r="BE18" i="109" s="1"/>
  <c r="BD19" i="109"/>
  <c r="BE19" i="109" s="1"/>
  <c r="BD20" i="109"/>
  <c r="BE20" i="109" s="1"/>
  <c r="BD21" i="109"/>
  <c r="BE21" i="109" s="1"/>
  <c r="BD22" i="109"/>
  <c r="BE22" i="109" s="1"/>
  <c r="BD23" i="109"/>
  <c r="BE23" i="109" s="1"/>
  <c r="BD24" i="109"/>
  <c r="BE24" i="109" s="1"/>
  <c r="BD25" i="109"/>
  <c r="BE25" i="109" s="1"/>
  <c r="BD26" i="109"/>
  <c r="BE26" i="109" s="1"/>
  <c r="BD27" i="109"/>
  <c r="BE27" i="109" s="1"/>
  <c r="BD28" i="109"/>
  <c r="BE28" i="109" s="1"/>
  <c r="BD29" i="109"/>
  <c r="BE29" i="109" s="1"/>
  <c r="BD30" i="109"/>
  <c r="BE30" i="109" s="1"/>
  <c r="BD31" i="109"/>
  <c r="BE31" i="109" s="1"/>
  <c r="BD32" i="109"/>
  <c r="BE32" i="109" s="1"/>
  <c r="BD33" i="109"/>
  <c r="BE33" i="109" s="1"/>
  <c r="BD34" i="109"/>
  <c r="BE34" i="109" s="1"/>
  <c r="BD35" i="109"/>
  <c r="BE35" i="109" s="1"/>
  <c r="BD36" i="109"/>
  <c r="BE36" i="109" s="1"/>
  <c r="BD37" i="109"/>
  <c r="BE37" i="109" s="1"/>
  <c r="BD38" i="109"/>
  <c r="BE38" i="109" s="1"/>
  <c r="BD39" i="109"/>
  <c r="BE39" i="109" s="1"/>
  <c r="BD40" i="109"/>
  <c r="BE40" i="109" s="1"/>
  <c r="BD41" i="109"/>
  <c r="BE41" i="109" s="1"/>
  <c r="BD42" i="109"/>
  <c r="BE42" i="109" s="1"/>
  <c r="BD43" i="109"/>
  <c r="BE43" i="109" s="1"/>
  <c r="BD44" i="109"/>
  <c r="BE44" i="109" s="1"/>
  <c r="BD45" i="109"/>
  <c r="BE45" i="109" s="1"/>
  <c r="BD46" i="109"/>
  <c r="BE46" i="109" s="1"/>
  <c r="BD47" i="109"/>
  <c r="BE47" i="109" s="1"/>
  <c r="BD48" i="109"/>
  <c r="BE48" i="109" s="1"/>
  <c r="BD49" i="109"/>
  <c r="BE49" i="109" s="1"/>
  <c r="BD50" i="109"/>
  <c r="BE50" i="109" s="1"/>
  <c r="BD51" i="109"/>
  <c r="BE51" i="109" s="1"/>
  <c r="BD52" i="109"/>
  <c r="BE52" i="109" s="1"/>
  <c r="BD53" i="109"/>
  <c r="BE53" i="109" s="1"/>
  <c r="BD54" i="109"/>
  <c r="BE54" i="109" s="1"/>
  <c r="BD7" i="109"/>
  <c r="BE7" i="109" s="1"/>
  <c r="AI7" i="109" l="1"/>
  <c r="BB14" i="109"/>
  <c r="BB10" i="109"/>
  <c r="BB15" i="109"/>
  <c r="BB53" i="109"/>
  <c r="BB11" i="109"/>
  <c r="BB51" i="109"/>
  <c r="BB54" i="109"/>
  <c r="BB7" i="109"/>
  <c r="BB12" i="109"/>
  <c r="BB9" i="109"/>
  <c r="BB8" i="109"/>
  <c r="BB52" i="109"/>
  <c r="BB16" i="109"/>
  <c r="BB13" i="109"/>
  <c r="BB28" i="109"/>
  <c r="BB26" i="109"/>
  <c r="BB48" i="109"/>
  <c r="BB46" i="109"/>
  <c r="BB42" i="109"/>
  <c r="BB36" i="109"/>
  <c r="BB38" i="109"/>
  <c r="BB32" i="109"/>
  <c r="BB31" i="109"/>
  <c r="BB22" i="109"/>
  <c r="BB19" i="109"/>
  <c r="BB18" i="109"/>
  <c r="BB34" i="109"/>
  <c r="BB20" i="109"/>
  <c r="BB23" i="109"/>
  <c r="BB39" i="109"/>
  <c r="BB27" i="109"/>
  <c r="BB17" i="109"/>
  <c r="BB47" i="109"/>
  <c r="BB25" i="109"/>
  <c r="BB41" i="109"/>
  <c r="BB33" i="109"/>
  <c r="BB35" i="109"/>
  <c r="BB21" i="109"/>
  <c r="BB44" i="109"/>
  <c r="BB29" i="109"/>
  <c r="BB30" i="109"/>
  <c r="BB45" i="109"/>
  <c r="BB50" i="109"/>
  <c r="BB24" i="109"/>
  <c r="BB37" i="109"/>
  <c r="BB40" i="109"/>
  <c r="BB43" i="109"/>
  <c r="BB49" i="109"/>
  <c r="BJ41" i="109" l="1"/>
  <c r="BJ54" i="109"/>
  <c r="BJ53" i="109"/>
  <c r="BJ49" i="109"/>
  <c r="BJ52" i="109"/>
  <c r="BJ11" i="109"/>
  <c r="BJ42" i="109"/>
  <c r="BJ13" i="109"/>
  <c r="BJ44" i="109"/>
  <c r="BJ51" i="109"/>
  <c r="BJ10" i="109"/>
  <c r="BJ8" i="109"/>
  <c r="BJ46" i="109"/>
  <c r="BJ12" i="109"/>
  <c r="BJ7" i="109"/>
  <c r="BJ48" i="109"/>
  <c r="BJ14" i="109"/>
  <c r="BJ9" i="109"/>
  <c r="BJ50" i="109"/>
  <c r="BJ47" i="109"/>
  <c r="BJ43" i="109"/>
  <c r="BJ45" i="109"/>
  <c r="BJ20" i="109"/>
  <c r="BJ24" i="109"/>
  <c r="BJ39" i="109"/>
  <c r="BJ38" i="109"/>
  <c r="BJ17" i="109"/>
  <c r="BJ19" i="109"/>
  <c r="BJ33" i="109"/>
  <c r="BJ37" i="109"/>
  <c r="BJ26" i="109"/>
  <c r="BJ35" i="109"/>
  <c r="BJ22" i="109"/>
  <c r="BJ31" i="109"/>
  <c r="BJ29" i="109"/>
  <c r="BJ16" i="109"/>
  <c r="BJ34" i="109"/>
  <c r="BJ23" i="109"/>
  <c r="BJ28" i="109"/>
  <c r="BJ32" i="109"/>
  <c r="BJ30" i="109"/>
  <c r="BJ40" i="109"/>
  <c r="BJ27" i="109"/>
  <c r="BJ36" i="109"/>
  <c r="BJ25" i="109"/>
  <c r="BJ21" i="109"/>
  <c r="BJ18" i="109"/>
  <c r="BJ15" i="109"/>
  <c r="BB6" i="109"/>
  <c r="CT6" i="109"/>
  <c r="BJ6" i="109" l="1"/>
  <c r="CU6" i="109"/>
  <c r="CU5" i="109" s="1"/>
  <c r="CT5" i="109"/>
  <c r="AJ8" i="109"/>
  <c r="AJ7" i="109"/>
  <c r="AK9" i="109"/>
  <c r="AK8" i="109"/>
  <c r="AK7" i="109"/>
  <c r="AL10" i="109"/>
  <c r="AL9" i="109"/>
  <c r="AL8" i="109"/>
  <c r="AL7" i="109"/>
  <c r="AM11" i="109"/>
  <c r="AM10" i="109"/>
  <c r="AM9" i="109"/>
  <c r="AM8" i="109"/>
  <c r="AM7" i="109"/>
  <c r="AN12" i="109"/>
  <c r="AN11" i="109"/>
  <c r="AN10" i="109"/>
  <c r="AN9" i="109"/>
  <c r="AN8" i="109"/>
  <c r="AN7" i="109"/>
  <c r="AO13" i="109"/>
  <c r="AO12" i="109"/>
  <c r="AO11" i="109"/>
  <c r="AO10" i="109"/>
  <c r="AO9" i="109"/>
  <c r="AO8" i="109"/>
  <c r="AO7" i="109"/>
  <c r="AP14" i="109"/>
  <c r="AP13" i="109"/>
  <c r="AP12" i="109"/>
  <c r="AP11" i="109"/>
  <c r="AP10" i="109"/>
  <c r="AP9" i="109"/>
  <c r="AP8" i="109"/>
  <c r="AP7" i="109"/>
  <c r="AQ15" i="109"/>
  <c r="AQ14" i="109"/>
  <c r="AQ13" i="109"/>
  <c r="AQ12" i="109"/>
  <c r="AQ11" i="109"/>
  <c r="AQ10" i="109"/>
  <c r="AQ9" i="109"/>
  <c r="AQ8" i="109"/>
  <c r="AQ7" i="109"/>
  <c r="AR16" i="109"/>
  <c r="AR15" i="109"/>
  <c r="AR14" i="109"/>
  <c r="AR13" i="109"/>
  <c r="AR12" i="109"/>
  <c r="AR11" i="109"/>
  <c r="AR10" i="109"/>
  <c r="AR9" i="109"/>
  <c r="AR8" i="109"/>
  <c r="AR7" i="109"/>
  <c r="AS17" i="109"/>
  <c r="AS16" i="109"/>
  <c r="AS15" i="109"/>
  <c r="AS14" i="109"/>
  <c r="AS13" i="109"/>
  <c r="AS12" i="109"/>
  <c r="AS11" i="109"/>
  <c r="AS10" i="109"/>
  <c r="AS9" i="109"/>
  <c r="AS8" i="109"/>
  <c r="AS7" i="109"/>
  <c r="AT18" i="109"/>
  <c r="AT17" i="109"/>
  <c r="AT16" i="109"/>
  <c r="AT15" i="109"/>
  <c r="AT14" i="109"/>
  <c r="AT13" i="109"/>
  <c r="AT12" i="109"/>
  <c r="AT11" i="109"/>
  <c r="AT10" i="109"/>
  <c r="AT9" i="109"/>
  <c r="AT8" i="109"/>
  <c r="AT7" i="109"/>
  <c r="AU19" i="109"/>
  <c r="AU18" i="109"/>
  <c r="AU17" i="109"/>
  <c r="AU16" i="109"/>
  <c r="AU15" i="109"/>
  <c r="AU14" i="109"/>
  <c r="AU13" i="109"/>
  <c r="AU12" i="109"/>
  <c r="AU11" i="109"/>
  <c r="AU10" i="109"/>
  <c r="AU9" i="109"/>
  <c r="AU8" i="109"/>
  <c r="AU7" i="109"/>
  <c r="AV20" i="109"/>
  <c r="AV19" i="109"/>
  <c r="AV18" i="109"/>
  <c r="AV17" i="109"/>
  <c r="AV16" i="109"/>
  <c r="AV15" i="109"/>
  <c r="AV14" i="109"/>
  <c r="AV13" i="109"/>
  <c r="AV12" i="109"/>
  <c r="AV11" i="109"/>
  <c r="AV10" i="109"/>
  <c r="AV9" i="109"/>
  <c r="AV8" i="109"/>
  <c r="AV7" i="109"/>
  <c r="AW21" i="109"/>
  <c r="AW20" i="109"/>
  <c r="AW19" i="109"/>
  <c r="AW18" i="109"/>
  <c r="AW17" i="109"/>
  <c r="AW16" i="109"/>
  <c r="AW15" i="109"/>
  <c r="AW14" i="109"/>
  <c r="AW13" i="109"/>
  <c r="AW12" i="109"/>
  <c r="AW11" i="109"/>
  <c r="AW10" i="109"/>
  <c r="AW9" i="109"/>
  <c r="AW8" i="109"/>
  <c r="AW7" i="109"/>
  <c r="AX22" i="109"/>
  <c r="AX21" i="109"/>
  <c r="AX20" i="109"/>
  <c r="AX19" i="109"/>
  <c r="AX18" i="109"/>
  <c r="AX17" i="109"/>
  <c r="AX16" i="109"/>
  <c r="AX15" i="109"/>
  <c r="AX14" i="109"/>
  <c r="AX13" i="109"/>
  <c r="AX12" i="109"/>
  <c r="AX11" i="109"/>
  <c r="AX10" i="109"/>
  <c r="AX9" i="109"/>
  <c r="AX8" i="109"/>
  <c r="AX7" i="109"/>
  <c r="AY23" i="109"/>
  <c r="AY22" i="109"/>
  <c r="AY21" i="109"/>
  <c r="AY20" i="109"/>
  <c r="AY19" i="109"/>
  <c r="AY18" i="109"/>
  <c r="AY17" i="109"/>
  <c r="AY16" i="109"/>
  <c r="AY15" i="109"/>
  <c r="AY14" i="109"/>
  <c r="AY13" i="109"/>
  <c r="AY12" i="109"/>
  <c r="AY11" i="109"/>
  <c r="AY10" i="109"/>
  <c r="AY9" i="109"/>
  <c r="AY8" i="109"/>
  <c r="AY7" i="109"/>
  <c r="AX54" i="109"/>
  <c r="AW53" i="109"/>
  <c r="AW54" i="109"/>
  <c r="AV54" i="109"/>
  <c r="AV53" i="109"/>
  <c r="AV52" i="109"/>
  <c r="AU54" i="109"/>
  <c r="AU53" i="109"/>
  <c r="AU52" i="109"/>
  <c r="AU51" i="109"/>
  <c r="AT54" i="109"/>
  <c r="AT53" i="109"/>
  <c r="AT52" i="109"/>
  <c r="AT51" i="109"/>
  <c r="AT50" i="109"/>
  <c r="AS54" i="109"/>
  <c r="AS53" i="109"/>
  <c r="AS52" i="109"/>
  <c r="AS51" i="109"/>
  <c r="AS50" i="109"/>
  <c r="AS49" i="109"/>
  <c r="AR54" i="109"/>
  <c r="AR53" i="109"/>
  <c r="AR52" i="109"/>
  <c r="AR51" i="109"/>
  <c r="AR50" i="109"/>
  <c r="AR49" i="109"/>
  <c r="AR48" i="109"/>
  <c r="AQ54" i="109"/>
  <c r="AQ53" i="109"/>
  <c r="AQ52" i="109"/>
  <c r="AQ51" i="109"/>
  <c r="AQ50" i="109"/>
  <c r="AQ49" i="109"/>
  <c r="AQ48" i="109"/>
  <c r="AQ47" i="109"/>
  <c r="AP54" i="109"/>
  <c r="AP53" i="109"/>
  <c r="AP52" i="109"/>
  <c r="AP51" i="109"/>
  <c r="AP50" i="109"/>
  <c r="AP49" i="109"/>
  <c r="AP48" i="109"/>
  <c r="AP47" i="109"/>
  <c r="AP46" i="109"/>
  <c r="AO54" i="109"/>
  <c r="AO53" i="109"/>
  <c r="AO52" i="109"/>
  <c r="AO51" i="109"/>
  <c r="AO50" i="109"/>
  <c r="AO49" i="109"/>
  <c r="AO48" i="109"/>
  <c r="AO47" i="109"/>
  <c r="AO46" i="109"/>
  <c r="AO45" i="109"/>
  <c r="AN54" i="109"/>
  <c r="AN53" i="109"/>
  <c r="AN52" i="109"/>
  <c r="AN51" i="109"/>
  <c r="AN50" i="109"/>
  <c r="AN49" i="109"/>
  <c r="AN48" i="109"/>
  <c r="AN47" i="109"/>
  <c r="AN46" i="109"/>
  <c r="AN45" i="109"/>
  <c r="AN44" i="109"/>
  <c r="AM54" i="109"/>
  <c r="AM53" i="109"/>
  <c r="AM52" i="109"/>
  <c r="AM51" i="109"/>
  <c r="AM50" i="109"/>
  <c r="AM49" i="109"/>
  <c r="AM48" i="109"/>
  <c r="AM47" i="109"/>
  <c r="AM46" i="109"/>
  <c r="AM45" i="109"/>
  <c r="AM44" i="109"/>
  <c r="AM43" i="109"/>
  <c r="AL54" i="109"/>
  <c r="AL53" i="109"/>
  <c r="AL52" i="109"/>
  <c r="AL51" i="109"/>
  <c r="AL50" i="109"/>
  <c r="AL49" i="109"/>
  <c r="AL48" i="109"/>
  <c r="AL47" i="109"/>
  <c r="AL46" i="109"/>
  <c r="AL45" i="109"/>
  <c r="AL44" i="109"/>
  <c r="AL43" i="109"/>
  <c r="AL42" i="109"/>
  <c r="AK54" i="109"/>
  <c r="AK53" i="109"/>
  <c r="AK52" i="109"/>
  <c r="AK51" i="109"/>
  <c r="AK50" i="109"/>
  <c r="AK49" i="109"/>
  <c r="AK48" i="109"/>
  <c r="AK47" i="109"/>
  <c r="AK46" i="109"/>
  <c r="AK45" i="109"/>
  <c r="AK44" i="109"/>
  <c r="AK43" i="109"/>
  <c r="AK42" i="109"/>
  <c r="AK41" i="109"/>
  <c r="AJ54" i="109"/>
  <c r="AJ53" i="109"/>
  <c r="AJ52" i="109"/>
  <c r="AJ51" i="109"/>
  <c r="AJ50" i="109"/>
  <c r="AJ49" i="109"/>
  <c r="AJ48" i="109"/>
  <c r="AJ47" i="109"/>
  <c r="AJ46" i="109"/>
  <c r="AJ45" i="109"/>
  <c r="AJ44" i="109"/>
  <c r="AJ43" i="109"/>
  <c r="AJ42" i="109"/>
  <c r="AJ41" i="109"/>
  <c r="AJ40" i="109"/>
  <c r="AI54" i="109"/>
  <c r="AI53" i="109"/>
  <c r="AI52" i="109"/>
  <c r="AI51" i="109"/>
  <c r="AI50" i="109"/>
  <c r="AI49" i="109"/>
  <c r="AI48" i="109"/>
  <c r="AI47" i="109"/>
  <c r="AI46" i="109"/>
  <c r="AI45" i="109"/>
  <c r="AI44" i="109"/>
  <c r="AI43" i="109"/>
  <c r="AI42" i="109"/>
  <c r="AI41" i="109"/>
  <c r="AI40" i="109"/>
  <c r="AI39" i="109"/>
  <c r="AH54" i="109"/>
  <c r="AH53" i="109"/>
  <c r="AH52" i="109"/>
  <c r="AH51" i="109"/>
  <c r="AH50" i="109"/>
  <c r="AH49" i="109"/>
  <c r="AH48" i="109"/>
  <c r="AH47" i="109"/>
  <c r="AH46" i="109"/>
  <c r="AH45" i="109"/>
  <c r="AH44" i="109"/>
  <c r="AH43" i="109"/>
  <c r="AH42" i="109"/>
  <c r="AH41" i="109"/>
  <c r="AH40" i="109"/>
  <c r="AH39" i="109"/>
  <c r="AH38" i="109"/>
  <c r="AG53" i="109"/>
  <c r="AG52" i="109"/>
  <c r="AG51" i="109"/>
  <c r="AG50" i="109"/>
  <c r="AG49" i="109"/>
  <c r="AG48" i="109"/>
  <c r="AG47" i="109"/>
  <c r="AG46" i="109"/>
  <c r="AG45" i="109"/>
  <c r="AG44" i="109"/>
  <c r="AG43" i="109"/>
  <c r="AG42" i="109"/>
  <c r="AG41" i="109"/>
  <c r="AG40" i="109"/>
  <c r="AG39" i="109"/>
  <c r="AG38" i="109"/>
  <c r="AG37" i="109"/>
  <c r="AF52" i="109"/>
  <c r="AF51" i="109"/>
  <c r="AF50" i="109"/>
  <c r="AF49" i="109"/>
  <c r="AF48" i="109"/>
  <c r="AF47" i="109"/>
  <c r="AF46" i="109"/>
  <c r="AF45" i="109"/>
  <c r="AF44" i="109"/>
  <c r="AF43" i="109"/>
  <c r="AF42" i="109"/>
  <c r="AF41" i="109"/>
  <c r="AF40" i="109"/>
  <c r="AF39" i="109"/>
  <c r="AF38" i="109"/>
  <c r="AF37" i="109"/>
  <c r="AF36" i="109"/>
  <c r="AE51" i="109"/>
  <c r="AE50" i="109"/>
  <c r="AE49" i="109"/>
  <c r="AE48" i="109"/>
  <c r="AE47" i="109"/>
  <c r="AE46" i="109"/>
  <c r="AE45" i="109"/>
  <c r="AE44" i="109"/>
  <c r="AE43" i="109"/>
  <c r="AE42" i="109"/>
  <c r="AE41" i="109"/>
  <c r="AE40" i="109"/>
  <c r="AE39" i="109"/>
  <c r="AE38" i="109"/>
  <c r="AE37" i="109"/>
  <c r="AE36" i="109"/>
  <c r="AE35" i="109"/>
  <c r="AD50" i="109"/>
  <c r="AD49" i="109"/>
  <c r="AD48" i="109"/>
  <c r="AD47" i="109"/>
  <c r="AD46" i="109"/>
  <c r="AD45" i="109"/>
  <c r="AD44" i="109"/>
  <c r="AD43" i="109"/>
  <c r="AD42" i="109"/>
  <c r="AD41" i="109"/>
  <c r="AD40" i="109"/>
  <c r="AD39" i="109"/>
  <c r="AD38" i="109"/>
  <c r="AD37" i="109"/>
  <c r="AD36" i="109"/>
  <c r="AD35" i="109"/>
  <c r="AD34" i="109"/>
  <c r="AC49" i="109"/>
  <c r="AC48" i="109"/>
  <c r="AC47" i="109"/>
  <c r="AC46" i="109"/>
  <c r="AC45" i="109"/>
  <c r="AC44" i="109"/>
  <c r="AC43" i="109"/>
  <c r="AC42" i="109"/>
  <c r="AC41" i="109"/>
  <c r="AC40" i="109"/>
  <c r="AC39" i="109"/>
  <c r="AC38" i="109"/>
  <c r="AC37" i="109"/>
  <c r="AC36" i="109"/>
  <c r="AC35" i="109"/>
  <c r="AC34" i="109"/>
  <c r="AC33" i="109"/>
  <c r="AB48" i="109"/>
  <c r="AB47" i="109"/>
  <c r="AB46" i="109"/>
  <c r="AB45" i="109"/>
  <c r="AB44" i="109"/>
  <c r="AB43" i="109"/>
  <c r="AB42" i="109"/>
  <c r="AB41" i="109"/>
  <c r="AB40" i="109"/>
  <c r="AB39" i="109"/>
  <c r="AB38" i="109"/>
  <c r="AB37" i="109"/>
  <c r="AB36" i="109"/>
  <c r="AB35" i="109"/>
  <c r="AB34" i="109"/>
  <c r="AB33" i="109"/>
  <c r="AB32" i="109"/>
  <c r="AA47" i="109"/>
  <c r="AA46" i="109"/>
  <c r="AA45" i="109"/>
  <c r="AA44" i="109"/>
  <c r="AA43" i="109"/>
  <c r="AA42" i="109"/>
  <c r="AA41" i="109"/>
  <c r="AA40" i="109"/>
  <c r="AA39" i="109"/>
  <c r="AA38" i="109"/>
  <c r="AA37" i="109"/>
  <c r="AA36" i="109"/>
  <c r="AA35" i="109"/>
  <c r="AA34" i="109"/>
  <c r="AA33" i="109"/>
  <c r="AA32" i="109"/>
  <c r="AA31" i="109"/>
  <c r="Z46" i="109"/>
  <c r="Z45" i="109"/>
  <c r="Z44" i="109"/>
  <c r="Z43" i="109"/>
  <c r="Z42" i="109"/>
  <c r="Z41" i="109"/>
  <c r="Z40" i="109"/>
  <c r="Z39" i="109"/>
  <c r="Z38" i="109"/>
  <c r="Z37" i="109"/>
  <c r="Z36" i="109"/>
  <c r="Z35" i="109"/>
  <c r="Z34" i="109"/>
  <c r="Z33" i="109"/>
  <c r="Z32" i="109"/>
  <c r="Z31" i="109"/>
  <c r="Z30" i="109"/>
  <c r="Y45" i="109"/>
  <c r="Y44" i="109"/>
  <c r="Y43" i="109"/>
  <c r="Y42" i="109"/>
  <c r="Y41" i="109"/>
  <c r="Y40" i="109"/>
  <c r="Y39" i="109"/>
  <c r="Y38" i="109"/>
  <c r="Y37" i="109"/>
  <c r="Y36" i="109"/>
  <c r="Y35" i="109"/>
  <c r="Y34" i="109"/>
  <c r="Y33" i="109"/>
  <c r="Y32" i="109"/>
  <c r="Y31" i="109"/>
  <c r="Y30" i="109"/>
  <c r="Y29" i="109"/>
  <c r="X44" i="109"/>
  <c r="X43" i="109"/>
  <c r="X42" i="109"/>
  <c r="X41" i="109"/>
  <c r="X40" i="109"/>
  <c r="X39" i="109"/>
  <c r="X38" i="109"/>
  <c r="X37" i="109"/>
  <c r="X36" i="109"/>
  <c r="X35" i="109"/>
  <c r="X34" i="109"/>
  <c r="X33" i="109"/>
  <c r="X32" i="109"/>
  <c r="X31" i="109"/>
  <c r="X30" i="109"/>
  <c r="X29" i="109"/>
  <c r="X28" i="109"/>
  <c r="W43" i="109"/>
  <c r="W42" i="109"/>
  <c r="W41" i="109"/>
  <c r="W40" i="109"/>
  <c r="W39" i="109"/>
  <c r="W38" i="109"/>
  <c r="W37" i="109"/>
  <c r="W36" i="109"/>
  <c r="W35" i="109"/>
  <c r="W34" i="109"/>
  <c r="W33" i="109"/>
  <c r="W32" i="109"/>
  <c r="W31" i="109"/>
  <c r="W30" i="109"/>
  <c r="W29" i="109"/>
  <c r="W28" i="109"/>
  <c r="W27" i="109"/>
  <c r="V42" i="109"/>
  <c r="V41" i="109"/>
  <c r="V40" i="109"/>
  <c r="V39" i="109"/>
  <c r="V38" i="109"/>
  <c r="V37" i="109"/>
  <c r="V36" i="109"/>
  <c r="V35" i="109"/>
  <c r="V34" i="109"/>
  <c r="V33" i="109"/>
  <c r="V32" i="109"/>
  <c r="V31" i="109"/>
  <c r="V30" i="109"/>
  <c r="V29" i="109"/>
  <c r="V28" i="109"/>
  <c r="V27" i="109"/>
  <c r="V26" i="109"/>
  <c r="U41" i="109"/>
  <c r="U40" i="109"/>
  <c r="U39" i="109"/>
  <c r="U38" i="109"/>
  <c r="U37" i="109"/>
  <c r="U36" i="109"/>
  <c r="U35" i="109"/>
  <c r="U34" i="109"/>
  <c r="U33" i="109"/>
  <c r="U32" i="109"/>
  <c r="U31" i="109"/>
  <c r="U30" i="109"/>
  <c r="U29" i="109"/>
  <c r="U28" i="109"/>
  <c r="U27" i="109"/>
  <c r="U26" i="109"/>
  <c r="U25" i="109"/>
  <c r="T40" i="109"/>
  <c r="T39" i="109"/>
  <c r="T38" i="109"/>
  <c r="T37" i="109"/>
  <c r="T36" i="109"/>
  <c r="T35" i="109"/>
  <c r="T34" i="109"/>
  <c r="T33" i="109"/>
  <c r="T32" i="109"/>
  <c r="T31" i="109"/>
  <c r="T30" i="109"/>
  <c r="T29" i="109"/>
  <c r="T28" i="109"/>
  <c r="T27" i="109"/>
  <c r="T26" i="109"/>
  <c r="T25" i="109"/>
  <c r="T24" i="109"/>
  <c r="S39" i="109"/>
  <c r="S38" i="109"/>
  <c r="S37" i="109"/>
  <c r="S36" i="109"/>
  <c r="S35" i="109"/>
  <c r="S34" i="109"/>
  <c r="S33" i="109"/>
  <c r="S32" i="109"/>
  <c r="S31" i="109"/>
  <c r="S30" i="109"/>
  <c r="S29" i="109"/>
  <c r="S28" i="109"/>
  <c r="S27" i="109"/>
  <c r="S26" i="109"/>
  <c r="S25" i="109"/>
  <c r="S24" i="109"/>
  <c r="S23" i="109"/>
  <c r="R38" i="109"/>
  <c r="R37" i="109"/>
  <c r="R36" i="109"/>
  <c r="R35" i="109"/>
  <c r="R34" i="109"/>
  <c r="R33" i="109"/>
  <c r="R32" i="109"/>
  <c r="R31" i="109"/>
  <c r="R30" i="109"/>
  <c r="R29" i="109"/>
  <c r="R28" i="109"/>
  <c r="R27" i="109"/>
  <c r="R26" i="109"/>
  <c r="R25" i="109"/>
  <c r="R24" i="109"/>
  <c r="R23" i="109"/>
  <c r="R22" i="109"/>
  <c r="Q37" i="109"/>
  <c r="Q36" i="109"/>
  <c r="Q35" i="109"/>
  <c r="Q34" i="109"/>
  <c r="Q33" i="109"/>
  <c r="Q32" i="109"/>
  <c r="Q31" i="109"/>
  <c r="Q30" i="109"/>
  <c r="Q29" i="109"/>
  <c r="Q28" i="109"/>
  <c r="Q27" i="109"/>
  <c r="Q26" i="109"/>
  <c r="Q25" i="109"/>
  <c r="Q24" i="109"/>
  <c r="Q23" i="109"/>
  <c r="Q22" i="109"/>
  <c r="Q21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P24" i="109"/>
  <c r="P23" i="109"/>
  <c r="P22" i="109"/>
  <c r="P21" i="109"/>
  <c r="P20" i="109"/>
  <c r="O35" i="109"/>
  <c r="O34" i="109"/>
  <c r="O33" i="109"/>
  <c r="O32" i="109"/>
  <c r="O31" i="109"/>
  <c r="O30" i="109"/>
  <c r="O29" i="109"/>
  <c r="O28" i="109"/>
  <c r="O27" i="109"/>
  <c r="O26" i="109"/>
  <c r="O25" i="109"/>
  <c r="O24" i="109"/>
  <c r="O23" i="109"/>
  <c r="O22" i="109"/>
  <c r="O21" i="109"/>
  <c r="O20" i="109"/>
  <c r="O19" i="109"/>
  <c r="N34" i="109"/>
  <c r="N33" i="109"/>
  <c r="N32" i="109"/>
  <c r="N31" i="109"/>
  <c r="N30" i="109"/>
  <c r="N29" i="109"/>
  <c r="N28" i="109"/>
  <c r="N27" i="109"/>
  <c r="N26" i="109"/>
  <c r="N25" i="109"/>
  <c r="N24" i="109"/>
  <c r="N23" i="109"/>
  <c r="N22" i="109"/>
  <c r="N21" i="109"/>
  <c r="N20" i="109"/>
  <c r="N19" i="109"/>
  <c r="N18" i="109"/>
  <c r="M33" i="109"/>
  <c r="M32" i="109"/>
  <c r="M31" i="109"/>
  <c r="M30" i="109"/>
  <c r="M29" i="109"/>
  <c r="M28" i="109"/>
  <c r="M27" i="109"/>
  <c r="M26" i="109"/>
  <c r="M25" i="109"/>
  <c r="M24" i="109"/>
  <c r="M23" i="109"/>
  <c r="M22" i="109"/>
  <c r="M21" i="109"/>
  <c r="M20" i="109"/>
  <c r="M19" i="109"/>
  <c r="M18" i="109"/>
  <c r="M17" i="109"/>
  <c r="L32" i="109"/>
  <c r="L31" i="109"/>
  <c r="L30" i="109"/>
  <c r="L29" i="109"/>
  <c r="L28" i="109"/>
  <c r="L27" i="109"/>
  <c r="L26" i="109"/>
  <c r="L25" i="109"/>
  <c r="L24" i="109"/>
  <c r="L23" i="109"/>
  <c r="L22" i="109"/>
  <c r="L21" i="109"/>
  <c r="L20" i="109"/>
  <c r="L19" i="109"/>
  <c r="L18" i="109"/>
  <c r="L17" i="109"/>
  <c r="L16" i="109"/>
  <c r="K31" i="109"/>
  <c r="K30" i="109"/>
  <c r="K29" i="109"/>
  <c r="K28" i="109"/>
  <c r="K27" i="109"/>
  <c r="K26" i="109"/>
  <c r="K25" i="109"/>
  <c r="K24" i="109"/>
  <c r="K23" i="109"/>
  <c r="K22" i="109"/>
  <c r="K21" i="109"/>
  <c r="K20" i="109"/>
  <c r="K19" i="109"/>
  <c r="K18" i="109"/>
  <c r="K17" i="109"/>
  <c r="K16" i="109"/>
  <c r="K15" i="109"/>
  <c r="J30" i="109"/>
  <c r="J29" i="109"/>
  <c r="J28" i="109"/>
  <c r="J27" i="109"/>
  <c r="J26" i="109"/>
  <c r="J25" i="109"/>
  <c r="J24" i="109"/>
  <c r="J23" i="109"/>
  <c r="J22" i="109"/>
  <c r="J21" i="109"/>
  <c r="J20" i="109"/>
  <c r="J19" i="109"/>
  <c r="J18" i="109"/>
  <c r="J17" i="109"/>
  <c r="J16" i="109"/>
  <c r="J15" i="109"/>
  <c r="J14" i="109"/>
  <c r="I29" i="109"/>
  <c r="I28" i="109"/>
  <c r="I27" i="109"/>
  <c r="I26" i="109"/>
  <c r="I25" i="109"/>
  <c r="I24" i="109"/>
  <c r="I23" i="109"/>
  <c r="I22" i="109"/>
  <c r="I21" i="109"/>
  <c r="I20" i="109"/>
  <c r="I19" i="109"/>
  <c r="I18" i="109"/>
  <c r="I17" i="109"/>
  <c r="I16" i="109"/>
  <c r="I15" i="109"/>
  <c r="I14" i="109"/>
  <c r="I13" i="109"/>
  <c r="H28" i="109"/>
  <c r="H27" i="109"/>
  <c r="H26" i="109"/>
  <c r="H25" i="109"/>
  <c r="H24" i="109"/>
  <c r="H23" i="109"/>
  <c r="H22" i="109"/>
  <c r="H21" i="109"/>
  <c r="H20" i="109"/>
  <c r="H19" i="109"/>
  <c r="H18" i="109"/>
  <c r="H17" i="109"/>
  <c r="H16" i="109"/>
  <c r="H15" i="109"/>
  <c r="H14" i="109"/>
  <c r="H13" i="109"/>
  <c r="H12" i="109"/>
  <c r="G27" i="109"/>
  <c r="G26" i="109"/>
  <c r="G25" i="109"/>
  <c r="G24" i="109"/>
  <c r="G23" i="109"/>
  <c r="G22" i="109"/>
  <c r="G21" i="109"/>
  <c r="G20" i="109"/>
  <c r="G19" i="109"/>
  <c r="G18" i="109"/>
  <c r="G17" i="109"/>
  <c r="G16" i="109"/>
  <c r="G15" i="109"/>
  <c r="G14" i="109"/>
  <c r="G13" i="109"/>
  <c r="G12" i="109"/>
  <c r="G11" i="109"/>
  <c r="F26" i="109"/>
  <c r="F25" i="109"/>
  <c r="F24" i="109"/>
  <c r="F23" i="109"/>
  <c r="F22" i="109"/>
  <c r="F21" i="109"/>
  <c r="F20" i="109"/>
  <c r="F19" i="109"/>
  <c r="F18" i="109"/>
  <c r="F17" i="109"/>
  <c r="F16" i="109"/>
  <c r="F15" i="109"/>
  <c r="F14" i="109"/>
  <c r="F13" i="109"/>
  <c r="F12" i="109"/>
  <c r="F11" i="109"/>
  <c r="F10" i="109"/>
  <c r="E25" i="109"/>
  <c r="E24" i="109"/>
  <c r="E23" i="109"/>
  <c r="E22" i="109"/>
  <c r="E21" i="109"/>
  <c r="E20" i="109"/>
  <c r="E19" i="109"/>
  <c r="E18" i="109"/>
  <c r="E17" i="109"/>
  <c r="E16" i="109"/>
  <c r="E15" i="109"/>
  <c r="E14" i="109"/>
  <c r="E13" i="109"/>
  <c r="E12" i="109"/>
  <c r="E11" i="109"/>
  <c r="E10" i="109"/>
  <c r="E9" i="109"/>
  <c r="D9" i="109"/>
  <c r="D10" i="109"/>
  <c r="D11" i="109"/>
  <c r="D12" i="109"/>
  <c r="D13" i="109"/>
  <c r="D14" i="109"/>
  <c r="D15" i="109"/>
  <c r="D16" i="109"/>
  <c r="D17" i="109"/>
  <c r="D18" i="109"/>
  <c r="D19" i="109"/>
  <c r="D20" i="109"/>
  <c r="D21" i="109"/>
  <c r="D22" i="109"/>
  <c r="D23" i="109"/>
  <c r="D24" i="109"/>
  <c r="D8" i="109"/>
  <c r="BA44" i="109" l="1"/>
  <c r="BA45" i="109"/>
  <c r="BA54" i="109"/>
  <c r="BA52" i="109"/>
  <c r="BA9" i="109"/>
  <c r="BA7" i="109"/>
  <c r="BA12" i="109"/>
  <c r="BA14" i="109"/>
  <c r="BA11" i="109"/>
  <c r="BA10" i="109"/>
  <c r="BA21" i="109"/>
  <c r="BA25" i="109"/>
  <c r="BA49" i="109"/>
  <c r="BA50" i="109"/>
  <c r="BA47" i="109"/>
  <c r="BA51" i="109"/>
  <c r="BA48" i="109"/>
  <c r="BA31" i="109"/>
  <c r="BA22" i="109"/>
  <c r="BA30" i="109"/>
  <c r="BA29" i="109"/>
  <c r="BA41" i="109"/>
  <c r="BA46" i="109"/>
  <c r="BA38" i="109"/>
  <c r="BA35" i="109"/>
  <c r="BA32" i="109"/>
  <c r="BA36" i="109"/>
  <c r="BA27" i="109"/>
  <c r="BA33" i="109"/>
  <c r="BA37" i="109"/>
  <c r="BA34" i="109"/>
  <c r="BA17" i="109"/>
  <c r="BA53" i="109"/>
  <c r="BA43" i="109"/>
  <c r="BA42" i="109"/>
  <c r="BA39" i="109"/>
  <c r="BA40" i="109"/>
  <c r="BA8" i="109"/>
  <c r="BA28" i="109"/>
  <c r="BA13" i="109"/>
  <c r="BC13" i="109" s="1"/>
  <c r="BA26" i="109"/>
  <c r="BA18" i="109"/>
  <c r="BA20" i="109"/>
  <c r="BA19" i="109"/>
  <c r="BA23" i="109"/>
  <c r="BA24" i="109"/>
  <c r="BA16" i="109"/>
  <c r="BA15" i="109"/>
  <c r="CV6" i="109"/>
  <c r="CQ55" i="109"/>
  <c r="DU55" i="109" s="1"/>
  <c r="CP55" i="109"/>
  <c r="DT55" i="109" s="1"/>
  <c r="CO55" i="109"/>
  <c r="DS55" i="109" s="1"/>
  <c r="CN55" i="109"/>
  <c r="DR55" i="109" s="1"/>
  <c r="CM55" i="109"/>
  <c r="DQ55" i="109" s="1"/>
  <c r="CL55" i="109"/>
  <c r="DP55" i="109" s="1"/>
  <c r="CK55" i="109"/>
  <c r="DO55" i="109" s="1"/>
  <c r="CJ55" i="109"/>
  <c r="DN55" i="109" s="1"/>
  <c r="CI55" i="109"/>
  <c r="DM55" i="109" s="1"/>
  <c r="CH55" i="109"/>
  <c r="DL55" i="109" s="1"/>
  <c r="CG55" i="109"/>
  <c r="DK55" i="109" s="1"/>
  <c r="CF55" i="109"/>
  <c r="DJ55" i="109" s="1"/>
  <c r="CE55" i="109"/>
  <c r="DI55" i="109" s="1"/>
  <c r="CD55" i="109"/>
  <c r="DH55" i="109" s="1"/>
  <c r="CC55" i="109"/>
  <c r="DG55" i="109" s="1"/>
  <c r="CB55" i="109"/>
  <c r="DF55" i="109" s="1"/>
  <c r="CA55" i="109"/>
  <c r="DE55" i="109" s="1"/>
  <c r="BZ55" i="109"/>
  <c r="DD55" i="109" s="1"/>
  <c r="BY55" i="109"/>
  <c r="DC55" i="109" s="1"/>
  <c r="BX55" i="109"/>
  <c r="DB55" i="109" s="1"/>
  <c r="BW55" i="109"/>
  <c r="DA55" i="109" s="1"/>
  <c r="BV55" i="109"/>
  <c r="CZ55" i="109" s="1"/>
  <c r="BU55" i="109"/>
  <c r="CY55" i="109" s="1"/>
  <c r="BT55" i="109"/>
  <c r="CX55" i="109" s="1"/>
  <c r="BS55" i="109"/>
  <c r="CW55" i="109" s="1"/>
  <c r="BR55" i="109"/>
  <c r="CV55" i="109" s="1"/>
  <c r="BQ55" i="109"/>
  <c r="CU55" i="109" s="1"/>
  <c r="BP55" i="109"/>
  <c r="CT55" i="109" s="1"/>
  <c r="AK5" i="109"/>
  <c r="P5" i="109"/>
  <c r="AM5" i="109"/>
  <c r="A8" i="109"/>
  <c r="A9" i="109" s="1"/>
  <c r="A10" i="109" s="1"/>
  <c r="A11" i="109" s="1"/>
  <c r="A12" i="109" s="1"/>
  <c r="A13" i="109" s="1"/>
  <c r="A14" i="109" s="1"/>
  <c r="A15" i="109" s="1"/>
  <c r="A16" i="109" s="1"/>
  <c r="A17" i="109" s="1"/>
  <c r="A18" i="109" s="1"/>
  <c r="A19" i="109" s="1"/>
  <c r="A20" i="109" s="1"/>
  <c r="A21" i="109" s="1"/>
  <c r="A22" i="109" s="1"/>
  <c r="A23" i="109" s="1"/>
  <c r="A24" i="109" s="1"/>
  <c r="A25" i="109" s="1"/>
  <c r="A26" i="109" s="1"/>
  <c r="A27" i="109" s="1"/>
  <c r="A28" i="109" s="1"/>
  <c r="A29" i="109" s="1"/>
  <c r="A30" i="109" s="1"/>
  <c r="A31" i="109" s="1"/>
  <c r="A32" i="109" s="1"/>
  <c r="A33" i="109" s="1"/>
  <c r="A34" i="109" s="1"/>
  <c r="A35" i="109" s="1"/>
  <c r="A36" i="109" s="1"/>
  <c r="A37" i="109" s="1"/>
  <c r="A38" i="109" s="1"/>
  <c r="A39" i="109" s="1"/>
  <c r="A40" i="109" s="1"/>
  <c r="A41" i="109" s="1"/>
  <c r="A42" i="109" s="1"/>
  <c r="A43" i="109" s="1"/>
  <c r="A44" i="109" s="1"/>
  <c r="A45" i="109" s="1"/>
  <c r="A46" i="109" s="1"/>
  <c r="A47" i="109" s="1"/>
  <c r="A48" i="109" s="1"/>
  <c r="A49" i="109" s="1"/>
  <c r="A50" i="109" s="1"/>
  <c r="A51" i="109" s="1"/>
  <c r="A52" i="109" s="1"/>
  <c r="A53" i="109" s="1"/>
  <c r="A54" i="109" s="1"/>
  <c r="BQ6" i="109"/>
  <c r="BR6" i="109" s="1"/>
  <c r="BD6" i="109"/>
  <c r="BK6" i="109" s="1"/>
  <c r="BL6" i="109" s="1"/>
  <c r="C6" i="109"/>
  <c r="BP5" i="109"/>
  <c r="E4" i="109"/>
  <c r="F4" i="109" s="1"/>
  <c r="G4" i="109" s="1"/>
  <c r="H4" i="109" s="1"/>
  <c r="I4" i="109" s="1"/>
  <c r="J4" i="109" s="1"/>
  <c r="K4" i="109" s="1"/>
  <c r="L4" i="109" s="1"/>
  <c r="M4" i="109" s="1"/>
  <c r="N4" i="109" s="1"/>
  <c r="O4" i="109" s="1"/>
  <c r="P4" i="109" s="1"/>
  <c r="Q4" i="109" s="1"/>
  <c r="R4" i="109" s="1"/>
  <c r="S4" i="109" s="1"/>
  <c r="T4" i="109" s="1"/>
  <c r="U4" i="109" s="1"/>
  <c r="V4" i="109" s="1"/>
  <c r="W4" i="109" s="1"/>
  <c r="X4" i="109" s="1"/>
  <c r="Y4" i="109" s="1"/>
  <c r="Z4" i="109" s="1"/>
  <c r="AA4" i="109" s="1"/>
  <c r="AB4" i="109" s="1"/>
  <c r="AC4" i="109" s="1"/>
  <c r="AD4" i="109" s="1"/>
  <c r="AE4" i="109" s="1"/>
  <c r="AF4" i="109" s="1"/>
  <c r="AG4" i="109" s="1"/>
  <c r="AH4" i="109" s="1"/>
  <c r="AI4" i="109" s="1"/>
  <c r="AJ4" i="109" s="1"/>
  <c r="AK4" i="109" s="1"/>
  <c r="AL4" i="109" s="1"/>
  <c r="AM4" i="109" s="1"/>
  <c r="AN4" i="109" s="1"/>
  <c r="AO4" i="109" s="1"/>
  <c r="AP4" i="109" s="1"/>
  <c r="AQ4" i="109" s="1"/>
  <c r="AR4" i="109" s="1"/>
  <c r="AS4" i="109" s="1"/>
  <c r="AT4" i="109" s="1"/>
  <c r="AU4" i="109" s="1"/>
  <c r="AV4" i="109" s="1"/>
  <c r="AW4" i="109" s="1"/>
  <c r="AX4" i="109" s="1"/>
  <c r="AY4" i="109" s="1"/>
  <c r="BF44" i="109"/>
  <c r="BF13" i="109"/>
  <c r="BA6" i="109" l="1"/>
  <c r="BI44" i="109"/>
  <c r="CV5" i="109"/>
  <c r="CW6" i="109"/>
  <c r="X5" i="109"/>
  <c r="AS5" i="109"/>
  <c r="AH5" i="109"/>
  <c r="AF5" i="109"/>
  <c r="AB5" i="109"/>
  <c r="E5" i="109"/>
  <c r="AR5" i="109"/>
  <c r="AN5" i="109"/>
  <c r="AV5" i="109"/>
  <c r="M5" i="109"/>
  <c r="U5" i="109"/>
  <c r="AJ5" i="109"/>
  <c r="T5" i="109"/>
  <c r="AC5" i="109"/>
  <c r="AP5" i="109"/>
  <c r="O5" i="109"/>
  <c r="R5" i="109"/>
  <c r="AD5" i="109"/>
  <c r="AO5" i="109"/>
  <c r="AQ5" i="109"/>
  <c r="AY5" i="109"/>
  <c r="N5" i="109"/>
  <c r="AL5" i="109"/>
  <c r="L5" i="109"/>
  <c r="W5" i="109"/>
  <c r="AW5" i="109"/>
  <c r="S5" i="109"/>
  <c r="Y5" i="109"/>
  <c r="AA5" i="109"/>
  <c r="BQ5" i="109"/>
  <c r="I5" i="109"/>
  <c r="V5" i="109"/>
  <c r="AE5" i="109"/>
  <c r="AU5" i="109"/>
  <c r="Q5" i="109"/>
  <c r="Z5" i="109"/>
  <c r="AG5" i="109"/>
  <c r="D5" i="109"/>
  <c r="H5" i="109"/>
  <c r="BS6" i="109"/>
  <c r="BR5" i="109"/>
  <c r="AT5" i="109"/>
  <c r="G5" i="109"/>
  <c r="AX5" i="109"/>
  <c r="F5" i="109"/>
  <c r="J5" i="109"/>
  <c r="K5" i="109"/>
  <c r="AI5" i="109"/>
  <c r="BF18" i="109"/>
  <c r="BG54" i="109"/>
  <c r="BG24" i="109"/>
  <c r="BF54" i="109"/>
  <c r="BF14" i="109"/>
  <c r="BG53" i="109"/>
  <c r="BG17" i="109"/>
  <c r="BF48" i="109"/>
  <c r="BG25" i="109"/>
  <c r="BG50" i="109"/>
  <c r="BF25" i="109"/>
  <c r="BF28" i="109"/>
  <c r="BG51" i="109"/>
  <c r="BG40" i="109"/>
  <c r="BG9" i="109"/>
  <c r="BG36" i="109"/>
  <c r="BG11" i="109"/>
  <c r="BF16" i="109"/>
  <c r="BF43" i="109"/>
  <c r="BF22" i="109"/>
  <c r="BG41" i="109"/>
  <c r="BF17" i="109"/>
  <c r="BF35" i="109"/>
  <c r="BF21" i="109"/>
  <c r="BG28" i="109"/>
  <c r="BF37" i="109"/>
  <c r="BG16" i="109"/>
  <c r="BG12" i="109"/>
  <c r="BG15" i="109"/>
  <c r="BG46" i="109"/>
  <c r="BG31" i="109"/>
  <c r="BF49" i="109"/>
  <c r="BF12" i="109"/>
  <c r="BF33" i="109"/>
  <c r="BF8" i="109"/>
  <c r="BG27" i="109"/>
  <c r="BF26" i="109"/>
  <c r="BF20" i="109"/>
  <c r="BG21" i="109"/>
  <c r="BF29" i="109"/>
  <c r="BG23" i="109"/>
  <c r="BG14" i="109"/>
  <c r="BG30" i="109"/>
  <c r="BF11" i="109"/>
  <c r="BF50" i="109"/>
  <c r="BF42" i="109"/>
  <c r="BF47" i="109"/>
  <c r="BG26" i="109"/>
  <c r="BF41" i="109"/>
  <c r="BF15" i="109"/>
  <c r="BG49" i="109"/>
  <c r="BF51" i="109"/>
  <c r="BG42" i="109"/>
  <c r="BG39" i="109"/>
  <c r="BF39" i="109"/>
  <c r="BF23" i="109"/>
  <c r="BG52" i="109"/>
  <c r="BG38" i="109"/>
  <c r="BF19" i="109"/>
  <c r="BG32" i="109"/>
  <c r="BF36" i="109"/>
  <c r="BF9" i="109"/>
  <c r="BF34" i="109"/>
  <c r="BG10" i="109"/>
  <c r="BG44" i="109"/>
  <c r="BG33" i="109"/>
  <c r="BG29" i="109"/>
  <c r="BG18" i="109"/>
  <c r="BF10" i="109"/>
  <c r="BF27" i="109"/>
  <c r="BG35" i="109"/>
  <c r="BG45" i="109"/>
  <c r="BF38" i="109"/>
  <c r="BF53" i="109"/>
  <c r="BG20" i="109"/>
  <c r="BG13" i="109"/>
  <c r="BF30" i="109"/>
  <c r="BG19" i="109"/>
  <c r="BF40" i="109"/>
  <c r="BF24" i="109"/>
  <c r="BG43" i="109"/>
  <c r="BG48" i="109"/>
  <c r="BF46" i="109"/>
  <c r="BG37" i="109"/>
  <c r="BG34" i="109"/>
  <c r="BG47" i="109"/>
  <c r="BF32" i="109"/>
  <c r="BF52" i="109"/>
  <c r="BF45" i="109"/>
  <c r="BG22" i="109"/>
  <c r="BF31" i="109"/>
  <c r="BG8" i="109"/>
  <c r="CW5" i="109" l="1"/>
  <c r="CX6" i="109"/>
  <c r="BC51" i="109"/>
  <c r="BC42" i="109"/>
  <c r="BC47" i="109"/>
  <c r="BH46" i="109"/>
  <c r="BC43" i="109"/>
  <c r="BC50" i="109"/>
  <c r="BC39" i="109"/>
  <c r="BC35" i="109"/>
  <c r="BH38" i="109"/>
  <c r="C5" i="109"/>
  <c r="BH47" i="109"/>
  <c r="BC38" i="109"/>
  <c r="BH42" i="109"/>
  <c r="BH50" i="109"/>
  <c r="BH39" i="109"/>
  <c r="BH43" i="109"/>
  <c r="BI20" i="109"/>
  <c r="BI7" i="109"/>
  <c r="BC28" i="109"/>
  <c r="BH28" i="109"/>
  <c r="BC34" i="109"/>
  <c r="BH34" i="109"/>
  <c r="BC12" i="109"/>
  <c r="BH12" i="109"/>
  <c r="BC32" i="109"/>
  <c r="BH32" i="109"/>
  <c r="BC16" i="109"/>
  <c r="BH16" i="109"/>
  <c r="BC10" i="109"/>
  <c r="BH10" i="109"/>
  <c r="BH20" i="109"/>
  <c r="BC20" i="109"/>
  <c r="BC24" i="109"/>
  <c r="BH24" i="109"/>
  <c r="BC30" i="109"/>
  <c r="BH30" i="109"/>
  <c r="BC26" i="109"/>
  <c r="BH26" i="109"/>
  <c r="BC22" i="109"/>
  <c r="BH22" i="109"/>
  <c r="BC14" i="109"/>
  <c r="BH14" i="109"/>
  <c r="BC18" i="109"/>
  <c r="BH18" i="109"/>
  <c r="BI40" i="109"/>
  <c r="BI29" i="109"/>
  <c r="BI21" i="109"/>
  <c r="BI13" i="109"/>
  <c r="BI41" i="109"/>
  <c r="BI32" i="109"/>
  <c r="BI16" i="109"/>
  <c r="BI50" i="109"/>
  <c r="BC46" i="109"/>
  <c r="BI10" i="109"/>
  <c r="BI51" i="109"/>
  <c r="BI43" i="109"/>
  <c r="BI52" i="109"/>
  <c r="BI36" i="109"/>
  <c r="BI27" i="109"/>
  <c r="BI19" i="109"/>
  <c r="BI11" i="109"/>
  <c r="BI37" i="109"/>
  <c r="BI46" i="109"/>
  <c r="BI53" i="109"/>
  <c r="BH35" i="109"/>
  <c r="BH51" i="109"/>
  <c r="BI48" i="109"/>
  <c r="BI33" i="109"/>
  <c r="BI25" i="109"/>
  <c r="BI17" i="109"/>
  <c r="BI49" i="109"/>
  <c r="BI9" i="109"/>
  <c r="BI24" i="109"/>
  <c r="BI30" i="109"/>
  <c r="BI26" i="109"/>
  <c r="BI22" i="109"/>
  <c r="BI14" i="109"/>
  <c r="BI42" i="109"/>
  <c r="BI54" i="109"/>
  <c r="BI18" i="109"/>
  <c r="BI8" i="109"/>
  <c r="BI47" i="109"/>
  <c r="BI39" i="109"/>
  <c r="BI31" i="109"/>
  <c r="BI23" i="109"/>
  <c r="BI15" i="109"/>
  <c r="BI45" i="109"/>
  <c r="BI28" i="109"/>
  <c r="BI38" i="109"/>
  <c r="BI34" i="109"/>
  <c r="BT6" i="109"/>
  <c r="BS5" i="109"/>
  <c r="BI12" i="109"/>
  <c r="BI35" i="109"/>
  <c r="CX5" i="109" l="1"/>
  <c r="CY6" i="109"/>
  <c r="BC7" i="109"/>
  <c r="BC52" i="109"/>
  <c r="BC45" i="109"/>
  <c r="BC48" i="109"/>
  <c r="BH40" i="109"/>
  <c r="BH44" i="109"/>
  <c r="BC49" i="109"/>
  <c r="BC41" i="109"/>
  <c r="BC36" i="109"/>
  <c r="BC37" i="109"/>
  <c r="BC8" i="109"/>
  <c r="BH45" i="109"/>
  <c r="BH41" i="109"/>
  <c r="BH49" i="109"/>
  <c r="BH48" i="109"/>
  <c r="BH36" i="109"/>
  <c r="BH52" i="109"/>
  <c r="BC40" i="109"/>
  <c r="BC53" i="109"/>
  <c r="BH53" i="109"/>
  <c r="BH8" i="109"/>
  <c r="BC17" i="109"/>
  <c r="BH17" i="109"/>
  <c r="BC25" i="109"/>
  <c r="BH25" i="109"/>
  <c r="BC33" i="109"/>
  <c r="BH33" i="109"/>
  <c r="BH11" i="109"/>
  <c r="BC11" i="109"/>
  <c r="BH23" i="109"/>
  <c r="BC23" i="109"/>
  <c r="BH31" i="109"/>
  <c r="BC31" i="109"/>
  <c r="BH54" i="109"/>
  <c r="BC54" i="109"/>
  <c r="BH9" i="109"/>
  <c r="BC9" i="109"/>
  <c r="BH15" i="109"/>
  <c r="BC15" i="109"/>
  <c r="BC19" i="109"/>
  <c r="BH19" i="109"/>
  <c r="BC27" i="109"/>
  <c r="BH27" i="109"/>
  <c r="BH13" i="109"/>
  <c r="BH21" i="109"/>
  <c r="BC21" i="109"/>
  <c r="BH29" i="109"/>
  <c r="BC29" i="109"/>
  <c r="BT5" i="109"/>
  <c r="BU6" i="109"/>
  <c r="BC44" i="109"/>
  <c r="BH37" i="109"/>
  <c r="CZ6" i="109" l="1"/>
  <c r="CY5" i="109"/>
  <c r="BV6" i="109"/>
  <c r="BU5" i="109"/>
  <c r="DA6" i="109" l="1"/>
  <c r="CZ5" i="109"/>
  <c r="BW6" i="109"/>
  <c r="BV5" i="109"/>
  <c r="DB6" i="109" l="1"/>
  <c r="DA5" i="109"/>
  <c r="BX6" i="109"/>
  <c r="BW5" i="109"/>
  <c r="DC6" i="109" l="1"/>
  <c r="DB5" i="109"/>
  <c r="BY6" i="109"/>
  <c r="BX5" i="109"/>
  <c r="DC5" i="109" l="1"/>
  <c r="DD6" i="109"/>
  <c r="BZ6" i="109"/>
  <c r="BY5" i="109"/>
  <c r="DD5" i="109" l="1"/>
  <c r="DE6" i="109"/>
  <c r="CA6" i="109"/>
  <c r="BZ5" i="109"/>
  <c r="DE5" i="109" l="1"/>
  <c r="DF6" i="109"/>
  <c r="CB6" i="109"/>
  <c r="CA5" i="109"/>
  <c r="DF5" i="109" l="1"/>
  <c r="DG6" i="109"/>
  <c r="CC6" i="109"/>
  <c r="CB5" i="109"/>
  <c r="DH6" i="109" l="1"/>
  <c r="DG5" i="109"/>
  <c r="CD6" i="109"/>
  <c r="CC5" i="109"/>
  <c r="DI6" i="109" l="1"/>
  <c r="DH5" i="109"/>
  <c r="CE6" i="109"/>
  <c r="CD5" i="109"/>
  <c r="DJ6" i="109" l="1"/>
  <c r="DI5" i="109"/>
  <c r="CF6" i="109"/>
  <c r="CE5" i="109"/>
  <c r="DK6" i="109" l="1"/>
  <c r="DJ5" i="109"/>
  <c r="CG6" i="109"/>
  <c r="CF5" i="109"/>
  <c r="DK5" i="109" l="1"/>
  <c r="DL6" i="109"/>
  <c r="CH6" i="109"/>
  <c r="CG5" i="109"/>
  <c r="DL5" i="109" l="1"/>
  <c r="DM6" i="109"/>
  <c r="CI6" i="109"/>
  <c r="CH5" i="109"/>
  <c r="DM5" i="109" l="1"/>
  <c r="DN6" i="109"/>
  <c r="CJ6" i="109"/>
  <c r="CI5" i="109"/>
  <c r="DN5" i="109" l="1"/>
  <c r="DO6" i="109"/>
  <c r="CJ5" i="109"/>
  <c r="CK6" i="109"/>
  <c r="DP6" i="109" l="1"/>
  <c r="DO5" i="109"/>
  <c r="CL6" i="109"/>
  <c r="CK5" i="109"/>
  <c r="DQ6" i="109" l="1"/>
  <c r="DP5" i="109"/>
  <c r="CM6" i="109"/>
  <c r="CL5" i="109"/>
  <c r="DR6" i="109" l="1"/>
  <c r="DQ5" i="109"/>
  <c r="CN6" i="109"/>
  <c r="CM5" i="109"/>
  <c r="DS6" i="109" l="1"/>
  <c r="DR5" i="109"/>
  <c r="CO6" i="109"/>
  <c r="CN5" i="109"/>
  <c r="DS5" i="109" l="1"/>
  <c r="DT6" i="109"/>
  <c r="CP6" i="109"/>
  <c r="CO5" i="109"/>
  <c r="DT5" i="109" l="1"/>
  <c r="DU6" i="109"/>
  <c r="DU5" i="109" s="1"/>
  <c r="CQ6" i="109"/>
  <c r="CQ5" i="109" s="1"/>
  <c r="CP5" i="109"/>
  <c r="BC6" i="109" l="1"/>
  <c r="BH7" i="109"/>
  <c r="BF7" i="109"/>
  <c r="BG7" i="109"/>
  <c r="BF6" i="109" l="1"/>
  <c r="BG6" i="10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tc={AC0F48E5-F279-4BB9-80DD-50F7D41B092B}</author>
    <author>tc={B687DCD1-68E4-43E9-9F63-CBAF7643039B}</author>
    <author>tc={5C3526C2-A958-4F9A-89D8-EA99EDD594D9}</author>
    <author>Kev™</author>
  </authors>
  <commentList>
    <comment ref="BA1" authorId="0" shapeId="0" xr:uid="{AC0F48E5-F279-4BB9-80DD-50F7D41B092B}">
      <text>
        <t>[Threaded comment]
Your version of Excel allows you to read this threaded comment; however, any edits to it will get removed if the file is opened in a newer version of Excel. Learn more: https://go.microsoft.com/fwlink/?linkid=870924
Comment:
    Out Of Office</t>
      </text>
    </comment>
    <comment ref="BB1" authorId="1" shapeId="0" xr:uid="{B687DCD1-68E4-43E9-9F63-CBAF7643039B}">
      <text>
        <t>[Threaded comment]
Your version of Excel allows you to read this threaded comment; however, any edits to it will get removed if the file is opened in a newer version of Excel. Learn more: https://go.microsoft.com/fwlink/?linkid=870924
Comment:
    In Office</t>
      </text>
    </comment>
    <comment ref="BC1" authorId="2" shapeId="0" xr:uid="{5C3526C2-A958-4F9A-89D8-EA99EDD594D9}">
      <text>
        <t>[Threaded comment]
Your version of Excel allows you to read this threaded comment; however, any edits to it will get removed if the file is opened in a newer version of Excel. Learn more: https://go.microsoft.com/fwlink/?linkid=870924
Comment:
    Concurrency</t>
      </text>
    </comment>
    <comment ref="BP6" authorId="3" shapeId="0" xr:uid="{CF6B733E-AC19-42A2-AF9B-1B2201063DC6}">
      <text>
        <r>
          <rPr>
            <b/>
            <sz val="9"/>
            <color indexed="81"/>
            <rFont val="Tahoma"/>
            <family val="2"/>
          </rPr>
          <t>Change Date Here, ensure It’s a Sunday</t>
        </r>
      </text>
    </comment>
    <comment ref="CT6" authorId="3" shapeId="0" xr:uid="{0BE2B660-462F-490C-B956-394F6F1FCCE2}">
      <text>
        <r>
          <rPr>
            <b/>
            <sz val="9"/>
            <color indexed="81"/>
            <rFont val="Tahoma"/>
            <family val="2"/>
          </rPr>
          <t>Change Date Here, ensure It’s a Sunday</t>
        </r>
      </text>
    </comment>
    <comment ref="BP7" authorId="3" shapeId="0" xr:uid="{F82E45F9-B56F-498D-AD98-DDA0366D37B0}">
      <text>
        <r>
          <rPr>
            <b/>
            <sz val="9"/>
            <color indexed="81"/>
            <rFont val="Tahoma"/>
            <family val="2"/>
          </rPr>
          <t>Paste Data Here</t>
        </r>
      </text>
    </comment>
    <comment ref="CT7" authorId="3" shapeId="0" xr:uid="{052DE64E-A91C-4DC5-B13A-F9044FFC1F56}">
      <text>
        <r>
          <rPr>
            <b/>
            <sz val="9"/>
            <color indexed="81"/>
            <rFont val="Tahoma"/>
            <family val="2"/>
          </rPr>
          <t>Paste Data Here</t>
        </r>
      </text>
    </comment>
  </commentList>
</comments>
</file>

<file path=xl/sharedStrings.xml><?xml version="1.0" encoding="utf-8"?>
<sst xmlns="http://schemas.openxmlformats.org/spreadsheetml/2006/main" count="23" uniqueCount="20">
  <si>
    <t>Break</t>
  </si>
  <si>
    <t>OOO</t>
  </si>
  <si>
    <t>IO</t>
  </si>
  <si>
    <t>Scheduling</t>
  </si>
  <si>
    <t>IST</t>
  </si>
  <si>
    <t>Shift</t>
  </si>
  <si>
    <t>Actual</t>
  </si>
  <si>
    <t>Requirement</t>
  </si>
  <si>
    <t>Variance</t>
  </si>
  <si>
    <t>Call Trend</t>
  </si>
  <si>
    <t>AHT</t>
  </si>
  <si>
    <t>Service Level</t>
  </si>
  <si>
    <t>Occupancy</t>
  </si>
  <si>
    <t>Influx</t>
  </si>
  <si>
    <t>Agent Distribution Ratio</t>
  </si>
  <si>
    <t>Volume</t>
  </si>
  <si>
    <t>MST</t>
  </si>
  <si>
    <t>Roster</t>
  </si>
  <si>
    <t>Interval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</si>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</sst>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[$-409]d\-mmm\-yy;@"/>
    <numFmt numFmtId="168" formatCode="0.0"/>
    <numFmt numFmtId="169" formatCode="[$-409]h:mm\ AM/PM;@"/>
    <numFmt numFmtId="170" formatCode="h:mm;@"/>
    <numFmt numFmtId="171" formatCode="_(&quot;$&quot;* #,##0_);_(&quot;$&quot;* \(#,##0\);_(&quot;$&quot;* &quot;-&quot;??_);_(@_)"/>
    <numFmt numFmtId="172" formatCode="_([$€-2]* #,##0.00_);_([$€-2]* \(#,##0.00\);_([$€-2]* &quot;-&quot;??_)"/>
    <numFmt numFmtId="173" formatCode="0000"/>
    <numFmt numFmtId="174" formatCode="000000"/>
    <numFmt numFmtId="175" formatCode="#,##0.0_);\(#,##0.0\)"/>
    <numFmt numFmtId="176" formatCode="0.0_)"/>
    <numFmt numFmtId="177" formatCode="#,##0_)&quot;days&quot;;\(#,##0\)&quot;days&quot;"/>
    <numFmt numFmtId="178" formatCode="#,##0;\(#,##0\)"/>
    <numFmt numFmtId="179" formatCode="0.00_);\(0.00\);0.00"/>
    <numFmt numFmtId="180" formatCode="_-* #,##0\ _F_-;\-* #,##0\ _F_-;_-* &quot;-&quot;\ _F_-;_-@_-"/>
    <numFmt numFmtId="181" formatCode="_-* #,##0.00\ _F_-;\-* #,##0.00\ _F_-;_-* &quot;-&quot;??\ _F_-;_-@_-"/>
    <numFmt numFmtId="182" formatCode="_(* #,##0_);_(* \(#,##0\);_(* &quot;-&quot;??_);_(@_)"/>
    <numFmt numFmtId="183" formatCode="&quot;$&quot;#,##0"/>
    <numFmt numFmtId="184" formatCode="_(&quot;$&quot;* #,##0.0_);_(&quot;$&quot;* \(#,##0.0\);_(&quot;$&quot;* &quot;-&quot;??_);_(@_)"/>
    <numFmt numFmtId="185" formatCode="&quot;$&quot;#,##0.;;\(&quot;$&quot;#,##0.\)"/>
    <numFmt numFmtId="186" formatCode="0.00_);\(0.00\);0.00_)"/>
    <numFmt numFmtId="187" formatCode="&quot;$&quot;#,##0_);&quot;$&quot;\(#,##0.\)"/>
    <numFmt numFmtId="188" formatCode="&quot;$&quot;#,##0_);&quot;$&quot;\(#,##0\)"/>
    <numFmt numFmtId="189" formatCode="&quot;$&quot;#,##0.0000_);\(&quot;$&quot;#,##0.0000\)"/>
    <numFmt numFmtId="190" formatCode="0.00\%;\-0.00\%;0.00\%"/>
    <numFmt numFmtId="191" formatCode="0.00\x;\-0.00\x;0.00\x"/>
    <numFmt numFmtId="192" formatCode="##0.00000"/>
    <numFmt numFmtId="193" formatCode="0.000000"/>
    <numFmt numFmtId="194" formatCode="#0.0\ &quot;%&quot;"/>
    <numFmt numFmtId="195" formatCode="&quot;$&quot;#,##0.00;[Red]\-&quot;$&quot;#,##0.00"/>
    <numFmt numFmtId="196" formatCode="#,##0\ &quot;DM&quot;;[Red]\-#,##0\ &quot;DM&quot;"/>
    <numFmt numFmtId="197" formatCode="#,##0.00\ &quot;DM&quot;;[Red]\-#,##0.00\ &quot;DM&quot;"/>
  </numFmts>
  <fonts count="68"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8"/>
      <name val="Calibri Light"/>
      <family val="2"/>
    </font>
    <font>
      <sz val="8"/>
      <name val="Calibri Light"/>
      <family val="2"/>
    </font>
    <font>
      <b/>
      <sz val="9"/>
      <color indexed="81"/>
      <name val="Tahoma"/>
      <family val="2"/>
    </font>
    <font>
      <b/>
      <sz val="14"/>
      <name val="Calibri Light"/>
      <family val="2"/>
    </font>
    <font>
      <sz val="11"/>
      <color indexed="8"/>
      <name val="Calibri"/>
      <family val="2"/>
    </font>
    <font>
      <sz val="10"/>
      <name val="Helv"/>
      <charset val="204"/>
    </font>
    <font>
      <sz val="8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8"/>
      <name val="Antique Olive"/>
    </font>
    <font>
      <sz val="8"/>
      <name val="Geneva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name val="Tms Rmn"/>
    </font>
    <font>
      <sz val="10"/>
      <name val="MS Sans Serif"/>
      <family val="2"/>
    </font>
    <font>
      <sz val="10"/>
      <name val="Helv"/>
    </font>
    <font>
      <sz val="10"/>
      <name val="Times New Roman"/>
      <family val="1"/>
    </font>
    <font>
      <sz val="10"/>
      <name val="Genev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24"/>
      <name val="MS Sans Serif"/>
      <family val="2"/>
    </font>
    <font>
      <b/>
      <sz val="10"/>
      <color indexed="5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1"/>
      <name val="Times New Roman"/>
      <family val="1"/>
    </font>
    <font>
      <sz val="11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8"/>
      <name val="Arial"/>
      <family val="2"/>
    </font>
    <font>
      <b/>
      <sz val="12"/>
      <name val="Helv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10"/>
      <name val="MS Sans Serif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2"/>
      <name val="MS Sans Serif"/>
      <family val="2"/>
    </font>
    <font>
      <b/>
      <sz val="8"/>
      <name val="Times New Roman"/>
      <family val="1"/>
    </font>
    <font>
      <sz val="10"/>
      <name val="Book Antiqua"/>
      <family val="1"/>
    </font>
    <font>
      <sz val="10"/>
      <name val="Comic Sans MS"/>
      <family val="4"/>
    </font>
    <font>
      <sz val="10"/>
      <name val="Helvetica-Narrow"/>
      <family val="2"/>
    </font>
    <font>
      <b/>
      <sz val="10"/>
      <name val="Helvetica-Narrow"/>
      <family val="2"/>
    </font>
    <font>
      <b/>
      <sz val="18"/>
      <color indexed="56"/>
      <name val="Cambria"/>
      <family val="2"/>
    </font>
    <font>
      <b/>
      <sz val="12"/>
      <name val="Times New Roman"/>
      <family val="1"/>
    </font>
    <font>
      <b/>
      <sz val="12"/>
      <name val="Helvetica-Narrow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Helv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 Light"/>
      <family val="2"/>
    </font>
    <font>
      <sz val="11"/>
      <color theme="3" tint="-0.499984740745262"/>
      <name val="Calibri Light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 Light"/>
      <family val="2"/>
    </font>
    <font>
      <b/>
      <sz val="10"/>
      <name val="Ebrima"/>
    </font>
  </fonts>
  <fills count="6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45"/>
      </patternFill>
    </fill>
    <fill>
      <patternFill patternType="solid">
        <fgColor indexed="45"/>
        <bgColor indexed="29"/>
      </patternFill>
    </fill>
    <fill>
      <patternFill patternType="solid">
        <fgColor indexed="42"/>
      </patternFill>
    </fill>
    <fill>
      <patternFill patternType="solid">
        <fgColor indexed="42"/>
        <bgColor indexed="27"/>
      </patternFill>
    </fill>
    <fill>
      <patternFill patternType="solid">
        <fgColor indexed="46"/>
      </patternFill>
    </fill>
    <fill>
      <patternFill patternType="solid">
        <fgColor indexed="46"/>
        <bgColor indexed="24"/>
      </patternFill>
    </fill>
    <fill>
      <patternFill patternType="solid">
        <fgColor indexed="46"/>
        <bgColor indexed="45"/>
      </patternFill>
    </fill>
    <fill>
      <patternFill patternType="solid">
        <f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27"/>
        <bgColor indexed="42"/>
      </patternFill>
    </fill>
    <fill>
      <patternFill patternType="solid">
        <fgColor indexed="47"/>
      </patternFill>
    </fill>
    <fill>
      <patternFill patternType="solid">
        <fgColor indexed="47"/>
        <bgColor indexed="22"/>
      </patternFill>
    </fill>
    <fill>
      <patternFill patternType="solid">
        <fgColor indexed="47"/>
        <bgColor indexed="41"/>
      </patternFill>
    </fill>
    <fill>
      <patternFill patternType="solid">
        <fgColor indexed="44"/>
      </patternFill>
    </fill>
    <fill>
      <patternFill patternType="solid">
        <fgColor indexed="44"/>
        <bgColor indexed="31"/>
      </patternFill>
    </fill>
    <fill>
      <patternFill patternType="solid">
        <fgColor indexed="44"/>
        <bgColor indexed="24"/>
      </patternFill>
    </fill>
    <fill>
      <patternFill patternType="solid">
        <fgColor indexed="29"/>
      </patternFill>
    </fill>
    <fill>
      <patternFill patternType="solid">
        <fgColor indexed="29"/>
        <bgColor indexed="45"/>
      </patternFill>
    </fill>
    <fill>
      <patternFill patternType="solid">
        <fgColor indexed="11"/>
      </patternFill>
    </fill>
    <fill>
      <patternFill patternType="solid">
        <fgColor indexed="11"/>
        <bgColor indexed="49"/>
      </patternFill>
    </fill>
    <fill>
      <patternFill patternType="solid">
        <fgColor indexed="51"/>
      </patternFill>
    </fill>
    <fill>
      <patternFill patternType="solid">
        <fgColor indexed="51"/>
        <bgColor indexed="13"/>
      </patternFill>
    </fill>
    <fill>
      <patternFill patternType="solid">
        <fgColor indexed="51"/>
        <bgColor indexed="54"/>
      </patternFill>
    </fill>
    <fill>
      <patternFill patternType="solid">
        <fgColor indexed="30"/>
      </patternFill>
    </fill>
    <fill>
      <patternFill patternType="solid">
        <fgColor indexed="30"/>
        <bgColor indexed="21"/>
      </patternFill>
    </fill>
    <fill>
      <patternFill patternType="solid">
        <fgColor indexed="36"/>
      </patternFill>
    </fill>
    <fill>
      <patternFill patternType="solid">
        <fgColor indexed="20"/>
        <bgColor indexed="36"/>
      </patternFill>
    </fill>
    <fill>
      <patternFill patternType="solid">
        <fgColor indexed="49"/>
      </patternFill>
    </fill>
    <fill>
      <patternFill patternType="solid">
        <fgColor indexed="49"/>
        <bgColor indexed="40"/>
      </patternFill>
    </fill>
    <fill>
      <patternFill patternType="solid">
        <fgColor indexed="52"/>
      </patternFill>
    </fill>
    <fill>
      <patternFill patternType="solid">
        <fgColor indexed="52"/>
        <bgColor indexed="51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62"/>
        <bgColor indexed="56"/>
      </patternFill>
    </fill>
    <fill>
      <patternFill patternType="solid">
        <fgColor indexed="10"/>
      </patternFill>
    </fill>
    <fill>
      <patternFill patternType="solid">
        <fgColor indexed="10"/>
        <bgColor indexed="60"/>
      </patternFill>
    </fill>
    <fill>
      <patternFill patternType="solid">
        <fgColor indexed="57"/>
      </patternFill>
    </fill>
    <fill>
      <patternFill patternType="solid">
        <fgColor indexed="57"/>
        <bgColor indexed="21"/>
      </patternFill>
    </fill>
    <fill>
      <patternFill patternType="solid">
        <fgColor indexed="53"/>
      </patternFill>
    </fill>
    <fill>
      <patternFill patternType="solid">
        <fgColor indexed="53"/>
        <bgColor indexed="52"/>
      </patternFill>
    </fill>
    <fill>
      <patternFill patternType="solid">
        <fgColor indexed="53"/>
        <bgColor indexed="19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55"/>
        <bgColor indexed="23"/>
      </patternFill>
    </fill>
    <fill>
      <patternFill patternType="darkGray">
        <fgColor indexed="9"/>
        <bgColor indexed="14"/>
      </patternFill>
    </fill>
    <fill>
      <patternFill patternType="lightGray">
        <fgColor indexed="12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hair">
        <color indexed="27"/>
      </left>
      <right style="hair">
        <color indexed="27"/>
      </right>
      <top style="hair">
        <color indexed="27"/>
      </top>
      <bottom style="hair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96">
    <xf numFmtId="0" fontId="0" fillId="0" borderId="0"/>
    <xf numFmtId="0" fontId="9" fillId="0" borderId="0"/>
    <xf numFmtId="172" fontId="9" fillId="0" borderId="0"/>
    <xf numFmtId="172" fontId="9" fillId="0" borderId="0" applyNumberFormat="0" applyFill="0" applyBorder="0" applyAlignment="0" applyProtection="0"/>
    <xf numFmtId="172" fontId="9" fillId="0" borderId="0" applyNumberFormat="0" applyFill="0" applyBorder="0" applyAlignment="0" applyProtection="0"/>
    <xf numFmtId="172" fontId="7" fillId="0" borderId="0"/>
    <xf numFmtId="172" fontId="7" fillId="0" borderId="0"/>
    <xf numFmtId="172" fontId="7" fillId="0" borderId="0"/>
    <xf numFmtId="172" fontId="9" fillId="0" borderId="0" applyNumberFormat="0" applyFill="0" applyBorder="0" applyAlignment="0" applyProtection="0"/>
    <xf numFmtId="172" fontId="7" fillId="0" borderId="0"/>
    <xf numFmtId="0" fontId="9" fillId="0" borderId="0" applyNumberFormat="0" applyFill="0" applyBorder="0" applyAlignment="0" applyProtection="0"/>
    <xf numFmtId="172" fontId="10" fillId="0" borderId="0" applyNumberFormat="0" applyFill="0" applyBorder="0" applyAlignment="0" applyProtection="0"/>
    <xf numFmtId="172" fontId="9" fillId="0" borderId="0" applyNumberFormat="0" applyFill="0" applyBorder="0" applyAlignment="0" applyProtection="0"/>
    <xf numFmtId="172" fontId="9" fillId="0" borderId="0"/>
    <xf numFmtId="0" fontId="9" fillId="0" borderId="0" applyNumberFormat="0" applyFill="0" applyBorder="0" applyAlignment="0" applyProtection="0"/>
    <xf numFmtId="172" fontId="8" fillId="0" borderId="0"/>
    <xf numFmtId="172" fontId="9" fillId="0" borderId="0" applyNumberFormat="0" applyFill="0" applyBorder="0" applyAlignment="0" applyProtection="0"/>
    <xf numFmtId="172" fontId="8" fillId="0" borderId="0"/>
    <xf numFmtId="172" fontId="9" fillId="0" borderId="0" applyNumberFormat="0" applyFill="0" applyBorder="0" applyAlignment="0" applyProtection="0"/>
    <xf numFmtId="172" fontId="8" fillId="0" borderId="0"/>
    <xf numFmtId="172" fontId="8" fillId="0" borderId="0"/>
    <xf numFmtId="172" fontId="9" fillId="0" borderId="0" applyNumberFormat="0" applyFill="0" applyBorder="0" applyAlignment="0" applyProtection="0"/>
    <xf numFmtId="172" fontId="8" fillId="0" borderId="0"/>
    <xf numFmtId="172" fontId="8" fillId="0" borderId="0"/>
    <xf numFmtId="9" fontId="9" fillId="2" borderId="0"/>
    <xf numFmtId="172" fontId="9" fillId="0" borderId="0"/>
    <xf numFmtId="173" fontId="11" fillId="0" borderId="0">
      <alignment horizontal="left"/>
    </xf>
    <xf numFmtId="174" fontId="12" fillId="0" borderId="0">
      <alignment horizontal="left"/>
    </xf>
    <xf numFmtId="0" fontId="6" fillId="4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1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4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7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0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1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6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13" fillId="29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8" borderId="0" applyNumberFormat="0" applyBorder="0" applyAlignment="0" applyProtection="0"/>
    <xf numFmtId="0" fontId="13" fillId="22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24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31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5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6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8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40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42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31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44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4" fillId="6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172" fontId="12" fillId="0" borderId="0" applyFont="0" applyFill="0" applyBorder="0" applyAlignment="0" applyProtection="0">
      <alignment horizontal="right"/>
    </xf>
    <xf numFmtId="172" fontId="15" fillId="0" borderId="0" applyNumberFormat="0" applyFill="0" applyBorder="0" applyAlignment="0" applyProtection="0"/>
    <xf numFmtId="172" fontId="16" fillId="0" borderId="1" applyBorder="0"/>
    <xf numFmtId="172" fontId="9" fillId="0" borderId="0" applyFill="0" applyBorder="0" applyAlignment="0"/>
    <xf numFmtId="175" fontId="17" fillId="0" borderId="0" applyFill="0" applyBorder="0" applyAlignment="0"/>
    <xf numFmtId="176" fontId="18" fillId="0" borderId="0" applyFill="0" applyBorder="0" applyAlignment="0"/>
    <xf numFmtId="172" fontId="9" fillId="0" borderId="0" applyFill="0" applyBorder="0" applyAlignment="0"/>
    <xf numFmtId="172" fontId="9" fillId="0" borderId="0" applyFill="0" applyBorder="0" applyAlignment="0"/>
    <xf numFmtId="164" fontId="17" fillId="0" borderId="0" applyFill="0" applyBorder="0" applyAlignment="0"/>
    <xf numFmtId="177" fontId="19" fillId="0" borderId="0" applyFill="0" applyBorder="0" applyAlignment="0"/>
    <xf numFmtId="175" fontId="17" fillId="0" borderId="0" applyFill="0" applyBorder="0" applyAlignment="0"/>
    <xf numFmtId="0" fontId="20" fillId="47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0" fillId="47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0" fillId="46" borderId="2" applyNumberFormat="0" applyAlignment="0" applyProtection="0"/>
    <xf numFmtId="0" fontId="21" fillId="49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0" fontId="21" fillId="49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0" fontId="21" fillId="48" borderId="3" applyNumberFormat="0" applyAlignment="0" applyProtection="0"/>
    <xf numFmtId="172" fontId="16" fillId="0" borderId="0">
      <alignment horizontal="center" wrapText="1"/>
      <protection hidden="1"/>
    </xf>
    <xf numFmtId="172" fontId="17" fillId="50" borderId="0" applyFont="0" applyBorder="0"/>
    <xf numFmtId="164" fontId="17" fillId="0" borderId="0" applyFont="0" applyFill="0" applyBorder="0" applyAlignment="0" applyProtection="0"/>
    <xf numFmtId="165" fontId="9" fillId="0" borderId="0" applyFont="0" applyFill="0" applyBorder="0" applyAlignment="0" applyProtection="0"/>
    <xf numFmtId="172" fontId="22" fillId="51" borderId="0">
      <alignment horizontal="center" vertical="center" wrapText="1"/>
    </xf>
    <xf numFmtId="178" fontId="23" fillId="0" borderId="4" applyBorder="0"/>
    <xf numFmtId="179" fontId="16" fillId="0" borderId="0" applyFill="0" applyBorder="0">
      <alignment horizontal="right"/>
      <protection locked="0"/>
    </xf>
    <xf numFmtId="175" fontId="17" fillId="0" borderId="0" applyFont="0" applyFill="0" applyBorder="0" applyAlignment="0" applyProtection="0"/>
    <xf numFmtId="178" fontId="24" fillId="0" borderId="0">
      <protection locked="0"/>
    </xf>
    <xf numFmtId="171" fontId="19" fillId="0" borderId="0">
      <protection locked="0"/>
    </xf>
    <xf numFmtId="14" fontId="25" fillId="0" borderId="0" applyFill="0" applyBorder="0" applyAlignment="0"/>
    <xf numFmtId="171" fontId="19" fillId="0" borderId="0">
      <protection locked="0"/>
    </xf>
    <xf numFmtId="180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2" fontId="19" fillId="0" borderId="5"/>
    <xf numFmtId="178" fontId="26" fillId="0" borderId="6"/>
    <xf numFmtId="172" fontId="27" fillId="0" borderId="0"/>
    <xf numFmtId="164" fontId="17" fillId="0" borderId="0" applyFill="0" applyBorder="0" applyAlignment="0"/>
    <xf numFmtId="175" fontId="17" fillId="0" borderId="0" applyFill="0" applyBorder="0" applyAlignment="0"/>
    <xf numFmtId="164" fontId="17" fillId="0" borderId="0" applyFill="0" applyBorder="0" applyAlignment="0"/>
    <xf numFmtId="177" fontId="19" fillId="0" borderId="0" applyFill="0" applyBorder="0" applyAlignment="0"/>
    <xf numFmtId="175" fontId="17" fillId="0" borderId="0" applyFill="0" applyBorder="0" applyAlignment="0"/>
    <xf numFmtId="172" fontId="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9" fontId="9" fillId="0" borderId="0"/>
    <xf numFmtId="9" fontId="28" fillId="0" borderId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83" fontId="19" fillId="0" borderId="0">
      <protection locked="0"/>
    </xf>
    <xf numFmtId="0" fontId="61" fillId="62" borderId="0" applyNumberFormat="0" applyBorder="0" applyAlignment="0" applyProtection="0"/>
    <xf numFmtId="0" fontId="30" fillId="8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0" fontId="30" fillId="7" borderId="0" applyNumberFormat="0" applyBorder="0" applyAlignment="0" applyProtection="0"/>
    <xf numFmtId="38" fontId="31" fillId="52" borderId="0" applyNumberFormat="0" applyBorder="0" applyAlignment="0" applyProtection="0"/>
    <xf numFmtId="172" fontId="32" fillId="0" borderId="0">
      <alignment horizontal="left"/>
    </xf>
    <xf numFmtId="172" fontId="32" fillId="53" borderId="7"/>
    <xf numFmtId="172" fontId="10" fillId="0" borderId="0">
      <alignment horizontal="left"/>
    </xf>
    <xf numFmtId="172" fontId="33" fillId="0" borderId="8" applyNumberFormat="0" applyAlignment="0" applyProtection="0">
      <alignment horizontal="left" vertical="center"/>
    </xf>
    <xf numFmtId="172" fontId="33" fillId="0" borderId="9">
      <alignment horizontal="left" vertical="center"/>
    </xf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4" fillId="0" borderId="10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5" fillId="0" borderId="11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12" applyNumberFormat="0" applyFill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184" fontId="19" fillId="0" borderId="0">
      <protection locked="0"/>
    </xf>
    <xf numFmtId="184" fontId="19" fillId="0" borderId="0">
      <protection locked="0"/>
    </xf>
    <xf numFmtId="185" fontId="17" fillId="0" borderId="13" applyBorder="0">
      <protection locked="0"/>
    </xf>
    <xf numFmtId="10" fontId="31" fillId="54" borderId="4" applyNumberFormat="0" applyBorder="0" applyAlignment="0" applyProtection="0"/>
    <xf numFmtId="0" fontId="37" fillId="16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0" fontId="37" fillId="17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0" fontId="37" fillId="15" borderId="2" applyNumberFormat="0" applyAlignment="0" applyProtection="0"/>
    <xf numFmtId="172" fontId="16" fillId="0" borderId="0" applyFill="0" applyBorder="0">
      <alignment horizontal="right"/>
      <protection locked="0"/>
    </xf>
    <xf numFmtId="186" fontId="16" fillId="0" borderId="0" applyFill="0" applyBorder="0">
      <alignment horizontal="right"/>
      <protection locked="0"/>
    </xf>
    <xf numFmtId="172" fontId="38" fillId="55" borderId="14">
      <alignment horizontal="left" vertical="center" wrapText="1"/>
    </xf>
    <xf numFmtId="187" fontId="19" fillId="0" borderId="0" applyFont="0" applyFill="0" applyBorder="0" applyAlignment="0" applyProtection="0"/>
    <xf numFmtId="188" fontId="19" fillId="0" borderId="0" applyFont="0" applyFill="0" applyBorder="0" applyAlignment="0" applyProtection="0"/>
    <xf numFmtId="164" fontId="17" fillId="0" borderId="0" applyFill="0" applyBorder="0" applyAlignment="0"/>
    <xf numFmtId="175" fontId="17" fillId="0" borderId="0" applyFill="0" applyBorder="0" applyAlignment="0"/>
    <xf numFmtId="164" fontId="17" fillId="0" borderId="0" applyFill="0" applyBorder="0" applyAlignment="0"/>
    <xf numFmtId="177" fontId="19" fillId="0" borderId="0" applyFill="0" applyBorder="0" applyAlignment="0"/>
    <xf numFmtId="175" fontId="17" fillId="0" borderId="0" applyFill="0" applyBorder="0" applyAlignment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0" fontId="39" fillId="0" borderId="15" applyNumberFormat="0" applyFill="0" applyAlignment="0" applyProtection="0"/>
    <xf numFmtId="172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40" fillId="57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7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37" fontId="41" fillId="0" borderId="0"/>
    <xf numFmtId="0" fontId="9" fillId="0" borderId="0"/>
    <xf numFmtId="189" fontId="9" fillId="0" borderId="0"/>
    <xf numFmtId="0" fontId="9" fillId="0" borderId="0"/>
    <xf numFmtId="0" fontId="6" fillId="0" borderId="0"/>
    <xf numFmtId="0" fontId="9" fillId="0" borderId="0" applyNumberFormat="0" applyFill="0" applyBorder="0" applyAlignment="0" applyProtection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1" fillId="0" borderId="0" applyNumberFormat="0" applyFill="0" applyBorder="0" applyAlignment="0" applyProtection="0"/>
    <xf numFmtId="0" fontId="28" fillId="59" borderId="16" applyNumberForma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0" fontId="9" fillId="59" borderId="16" applyNumberForma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0" fontId="6" fillId="58" borderId="16" applyNumberFormat="0" applyFont="0" applyAlignment="0" applyProtection="0"/>
    <xf numFmtId="172" fontId="42" fillId="0" borderId="0" applyNumberFormat="0" applyAlignment="0">
      <alignment vertical="top"/>
    </xf>
    <xf numFmtId="172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0" fontId="43" fillId="47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0" fontId="43" fillId="47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0" fontId="43" fillId="46" borderId="17" applyNumberFormat="0" applyAlignment="0" applyProtection="0"/>
    <xf numFmtId="40" fontId="44" fillId="60" borderId="0">
      <alignment horizontal="right"/>
    </xf>
    <xf numFmtId="172" fontId="45" fillId="60" borderId="0">
      <alignment horizontal="right"/>
    </xf>
    <xf numFmtId="172" fontId="46" fillId="60" borderId="5"/>
    <xf numFmtId="172" fontId="46" fillId="0" borderId="0" applyBorder="0">
      <alignment horizontal="centerContinuous"/>
    </xf>
    <xf numFmtId="172" fontId="47" fillId="0" borderId="0" applyBorder="0">
      <alignment horizontal="centerContinuous"/>
    </xf>
    <xf numFmtId="9" fontId="60" fillId="0" borderId="0" applyFont="0" applyFill="0" applyBorder="0" applyAlignment="0" applyProtection="0"/>
    <xf numFmtId="166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2" fontId="1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ill="0" applyBorder="0" applyAlignment="0" applyProtection="0"/>
    <xf numFmtId="9" fontId="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0" fillId="0" borderId="0" applyFont="0" applyFill="0" applyBorder="0" applyAlignment="0" applyProtection="0"/>
    <xf numFmtId="190" fontId="16" fillId="0" borderId="0" applyFill="0" applyBorder="0">
      <alignment horizontal="right"/>
      <protection locked="0"/>
    </xf>
    <xf numFmtId="164" fontId="17" fillId="0" borderId="0" applyFill="0" applyBorder="0" applyAlignment="0"/>
    <xf numFmtId="175" fontId="17" fillId="0" borderId="0" applyFill="0" applyBorder="0" applyAlignment="0"/>
    <xf numFmtId="164" fontId="17" fillId="0" borderId="0" applyFill="0" applyBorder="0" applyAlignment="0"/>
    <xf numFmtId="177" fontId="19" fillId="0" borderId="0" applyFill="0" applyBorder="0" applyAlignment="0"/>
    <xf numFmtId="175" fontId="17" fillId="0" borderId="0" applyFill="0" applyBorder="0" applyAlignment="0"/>
    <xf numFmtId="37" fontId="9" fillId="0" borderId="0" applyFont="0" applyFill="0" applyBorder="0" applyAlignment="0" applyProtection="0"/>
    <xf numFmtId="172" fontId="16" fillId="0" borderId="0" applyNumberFormat="0" applyFont="0" applyFill="0" applyBorder="0" applyAlignment="0" applyProtection="0">
      <alignment horizontal="left"/>
    </xf>
    <xf numFmtId="15" fontId="16" fillId="0" borderId="0" applyFont="0" applyFill="0" applyBorder="0" applyAlignment="0" applyProtection="0"/>
    <xf numFmtId="4" fontId="16" fillId="0" borderId="0" applyFont="0" applyFill="0" applyBorder="0" applyAlignment="0" applyProtection="0"/>
    <xf numFmtId="172" fontId="38" fillId="0" borderId="18">
      <alignment horizontal="center"/>
    </xf>
    <xf numFmtId="3" fontId="16" fillId="0" borderId="0" applyFont="0" applyFill="0" applyBorder="0" applyAlignment="0" applyProtection="0"/>
    <xf numFmtId="172" fontId="16" fillId="61" borderId="0" applyNumberFormat="0" applyFont="0" applyBorder="0" applyAlignment="0" applyProtection="0"/>
    <xf numFmtId="191" fontId="16" fillId="0" borderId="0">
      <alignment horizontal="right"/>
      <protection locked="0"/>
    </xf>
    <xf numFmtId="192" fontId="48" fillId="0" borderId="0" applyFill="0" applyBorder="0" applyProtection="0">
      <alignment horizontal="right"/>
      <protection hidden="1"/>
    </xf>
    <xf numFmtId="172" fontId="8" fillId="0" borderId="0">
      <alignment wrapText="1"/>
    </xf>
    <xf numFmtId="0" fontId="9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2" fontId="49" fillId="0" borderId="0"/>
    <xf numFmtId="49" fontId="50" fillId="0" borderId="0">
      <alignment horizontal="left"/>
    </xf>
    <xf numFmtId="49" fontId="25" fillId="0" borderId="0" applyFill="0" applyBorder="0" applyAlignment="0"/>
    <xf numFmtId="172" fontId="9" fillId="0" borderId="0" applyFill="0" applyBorder="0" applyAlignment="0"/>
    <xf numFmtId="172" fontId="51" fillId="0" borderId="0" applyFill="0" applyBorder="0" applyAlignment="0"/>
    <xf numFmtId="172" fontId="52" fillId="0" borderId="0" applyNumberFormat="0" applyFill="0" applyBorder="0" applyProtection="0">
      <alignment vertical="top"/>
    </xf>
    <xf numFmtId="172" fontId="53" fillId="0" borderId="19" applyNumberFormat="0" applyFill="0" applyProtection="0">
      <alignment horizontal="center" vertical="top"/>
    </xf>
    <xf numFmtId="172" fontId="52" fillId="0" borderId="0" applyNumberFormat="0" applyFill="0" applyBorder="0" applyProtection="0">
      <alignment vertical="top" wrapText="1"/>
    </xf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72" fontId="55" fillId="0" borderId="0"/>
    <xf numFmtId="172" fontId="16" fillId="0" borderId="0" applyBorder="0"/>
    <xf numFmtId="172" fontId="56" fillId="0" borderId="0" applyNumberFormat="0" applyFill="0" applyBorder="0" applyProtection="0">
      <alignment horizontal="center" textRotation="90"/>
    </xf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0" fontId="57" fillId="0" borderId="20" applyNumberFormat="0" applyFill="0" applyAlignment="0" applyProtection="0"/>
    <xf numFmtId="41" fontId="9" fillId="0" borderId="0" applyFont="0" applyFill="0" applyBorder="0" applyAlignment="0" applyProtection="0"/>
    <xf numFmtId="4" fontId="17" fillId="0" borderId="0" applyFont="0" applyFill="0" applyBorder="0" applyAlignment="0" applyProtection="0"/>
    <xf numFmtId="193" fontId="9" fillId="0" borderId="0" applyFont="0" applyFill="0" applyBorder="0" applyAlignment="0" applyProtection="0"/>
    <xf numFmtId="194" fontId="19" fillId="0" borderId="0" applyFont="0" applyFill="0" applyBorder="0" applyAlignment="0" applyProtection="0"/>
    <xf numFmtId="195" fontId="17" fillId="0" borderId="0" applyFont="0" applyFill="0" applyBorder="0" applyAlignment="0" applyProtection="0"/>
    <xf numFmtId="196" fontId="16" fillId="0" borderId="0" applyFont="0" applyFill="0" applyBorder="0" applyAlignment="0" applyProtection="0"/>
    <xf numFmtId="197" fontId="1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72" fontId="59" fillId="0" borderId="21"/>
    <xf numFmtId="172" fontId="9" fillId="0" borderId="0"/>
    <xf numFmtId="164" fontId="9" fillId="0" borderId="0" applyFont="0" applyFill="0" applyBorder="0" applyAlignment="0" applyProtection="0"/>
  </cellStyleXfs>
  <cellXfs count="62">
    <xf numFmtId="0" fontId="0" fillId="0" borderId="0" xfId="0"/>
    <xf numFmtId="0" fontId="62" fillId="0" borderId="0" xfId="0" applyFont="1"/>
    <xf numFmtId="169" fontId="3" fillId="0" borderId="4" xfId="485" applyNumberFormat="1" applyFont="1" applyBorder="1" applyAlignment="1">
      <alignment horizontal="center"/>
    </xf>
    <xf numFmtId="169" fontId="3" fillId="0" borderId="26" xfId="485" applyNumberFormat="1" applyFont="1" applyBorder="1" applyAlignment="1">
      <alignment horizontal="center"/>
    </xf>
    <xf numFmtId="170" fontId="3" fillId="0" borderId="26" xfId="485" applyNumberFormat="1" applyFont="1" applyBorder="1" applyAlignment="1">
      <alignment horizontal="center"/>
    </xf>
    <xf numFmtId="0" fontId="2" fillId="0" borderId="0" xfId="485" applyFont="1" applyBorder="1" applyAlignment="1">
      <alignment horizontal="center"/>
    </xf>
    <xf numFmtId="0" fontId="62" fillId="0" borderId="0" xfId="0" applyFont="1" applyAlignment="1">
      <alignment horizontal="center"/>
    </xf>
    <xf numFmtId="169" fontId="63" fillId="62" borderId="32" xfId="348" applyNumberFormat="1" applyFont="1" applyBorder="1" applyAlignment="1">
      <alignment horizontal="center" textRotation="90"/>
    </xf>
    <xf numFmtId="0" fontId="62" fillId="0" borderId="4" xfId="0" applyFont="1" applyBorder="1" applyAlignment="1">
      <alignment horizontal="center" vertical="center"/>
    </xf>
    <xf numFmtId="1" fontId="62" fillId="0" borderId="0" xfId="0" applyNumberFormat="1" applyFont="1" applyAlignment="1">
      <alignment horizontal="center"/>
    </xf>
    <xf numFmtId="0" fontId="64" fillId="0" borderId="0" xfId="0" applyFont="1" applyAlignment="1">
      <alignment horizontal="center"/>
    </xf>
    <xf numFmtId="18" fontId="64" fillId="0" borderId="0" xfId="0" applyNumberFormat="1" applyFont="1" applyAlignment="1">
      <alignment horizontal="center"/>
    </xf>
    <xf numFmtId="18" fontId="65" fillId="64" borderId="36" xfId="0" applyNumberFormat="1" applyFont="1" applyFill="1" applyBorder="1" applyAlignment="1">
      <alignment horizontal="center"/>
    </xf>
    <xf numFmtId="167" fontId="64" fillId="0" borderId="4" xfId="0" applyNumberFormat="1" applyFont="1" applyBorder="1" applyAlignment="1">
      <alignment horizontal="center" textRotation="90"/>
    </xf>
    <xf numFmtId="0" fontId="64" fillId="0" borderId="32" xfId="0" applyFont="1" applyBorder="1" applyAlignment="1">
      <alignment horizontal="center"/>
    </xf>
    <xf numFmtId="0" fontId="64" fillId="0" borderId="26" xfId="0" applyFont="1" applyBorder="1" applyAlignment="1">
      <alignment horizontal="center" textRotation="90"/>
    </xf>
    <xf numFmtId="1" fontId="64" fillId="0" borderId="0" xfId="0" applyNumberFormat="1" applyFont="1" applyAlignment="1">
      <alignment horizontal="center"/>
    </xf>
    <xf numFmtId="9" fontId="62" fillId="0" borderId="0" xfId="514" applyFont="1" applyAlignment="1">
      <alignment horizontal="center"/>
    </xf>
    <xf numFmtId="0" fontId="62" fillId="0" borderId="4" xfId="0" applyFont="1" applyBorder="1" applyAlignment="1">
      <alignment horizontal="center" textRotation="90"/>
    </xf>
    <xf numFmtId="1" fontId="66" fillId="0" borderId="4" xfId="0" applyNumberFormat="1" applyFont="1" applyBorder="1" applyAlignment="1">
      <alignment horizontal="center" vertical="center"/>
    </xf>
    <xf numFmtId="9" fontId="66" fillId="0" borderId="4" xfId="514" applyFont="1" applyBorder="1" applyAlignment="1">
      <alignment horizontal="center" vertical="center"/>
    </xf>
    <xf numFmtId="2" fontId="62" fillId="0" borderId="0" xfId="0" applyNumberFormat="1" applyFont="1" applyAlignment="1">
      <alignment horizontal="center"/>
    </xf>
    <xf numFmtId="166" fontId="62" fillId="0" borderId="0" xfId="514" applyNumberFormat="1" applyFont="1" applyAlignment="1">
      <alignment horizontal="center"/>
    </xf>
    <xf numFmtId="0" fontId="2" fillId="0" borderId="33" xfId="485" applyFont="1" applyBorder="1" applyAlignment="1">
      <alignment horizontal="center"/>
    </xf>
    <xf numFmtId="169" fontId="63" fillId="62" borderId="34" xfId="348" applyNumberFormat="1" applyFont="1" applyBorder="1" applyAlignment="1">
      <alignment horizontal="center" textRotation="90"/>
    </xf>
    <xf numFmtId="0" fontId="2" fillId="0" borderId="33" xfId="485" applyFont="1" applyBorder="1" applyAlignment="1">
      <alignment horizontal="center" vertical="center"/>
    </xf>
    <xf numFmtId="0" fontId="62" fillId="0" borderId="34" xfId="0" applyFont="1" applyBorder="1"/>
    <xf numFmtId="0" fontId="62" fillId="0" borderId="26" xfId="0" applyFont="1" applyBorder="1"/>
    <xf numFmtId="9" fontId="62" fillId="65" borderId="0" xfId="0" applyNumberFormat="1" applyFont="1" applyFill="1" applyAlignment="1">
      <alignment horizontal="center"/>
    </xf>
    <xf numFmtId="0" fontId="62" fillId="65" borderId="0" xfId="0" applyFont="1" applyFill="1" applyAlignment="1">
      <alignment horizontal="center"/>
    </xf>
    <xf numFmtId="1" fontId="62" fillId="0" borderId="0" xfId="0" applyNumberFormat="1" applyFont="1"/>
    <xf numFmtId="0" fontId="66" fillId="0" borderId="34" xfId="0" applyFont="1" applyBorder="1" applyAlignment="1">
      <alignment horizontal="center" vertical="center"/>
    </xf>
    <xf numFmtId="1" fontId="62" fillId="0" borderId="22" xfId="0" applyNumberFormat="1" applyFont="1" applyBorder="1" applyAlignment="1">
      <alignment horizontal="center"/>
    </xf>
    <xf numFmtId="10" fontId="62" fillId="0" borderId="0" xfId="514" applyNumberFormat="1" applyFont="1" applyAlignment="1">
      <alignment horizontal="center"/>
    </xf>
    <xf numFmtId="9" fontId="62" fillId="0" borderId="0" xfId="0" applyNumberFormat="1" applyFont="1"/>
    <xf numFmtId="10" fontId="62" fillId="0" borderId="0" xfId="0" applyNumberFormat="1" applyFont="1"/>
    <xf numFmtId="1" fontId="62" fillId="0" borderId="23" xfId="0" applyNumberFormat="1" applyFont="1" applyBorder="1" applyAlignment="1">
      <alignment horizontal="center"/>
    </xf>
    <xf numFmtId="1" fontId="62" fillId="0" borderId="24" xfId="0" applyNumberFormat="1" applyFont="1" applyBorder="1" applyAlignment="1">
      <alignment horizontal="center"/>
    </xf>
    <xf numFmtId="0" fontId="62" fillId="0" borderId="24" xfId="0" applyFont="1" applyBorder="1" applyAlignment="1">
      <alignment horizontal="center"/>
    </xf>
    <xf numFmtId="1" fontId="62" fillId="0" borderId="27" xfId="0" applyNumberFormat="1" applyFont="1" applyBorder="1" applyAlignment="1">
      <alignment horizontal="center"/>
    </xf>
    <xf numFmtId="0" fontId="62" fillId="0" borderId="22" xfId="0" applyFont="1" applyBorder="1" applyAlignment="1">
      <alignment horizontal="center"/>
    </xf>
    <xf numFmtId="0" fontId="62" fillId="0" borderId="28" xfId="0" applyFont="1" applyBorder="1" applyAlignment="1">
      <alignment horizontal="center"/>
    </xf>
    <xf numFmtId="0" fontId="62" fillId="0" borderId="27" xfId="0" applyFont="1" applyBorder="1" applyAlignment="1">
      <alignment horizontal="center"/>
    </xf>
    <xf numFmtId="0" fontId="62" fillId="0" borderId="30" xfId="0" applyFont="1" applyBorder="1" applyAlignment="1">
      <alignment horizontal="center"/>
    </xf>
    <xf numFmtId="0" fontId="62" fillId="0" borderId="31" xfId="0" applyFont="1" applyBorder="1" applyAlignment="1">
      <alignment horizontal="center"/>
    </xf>
    <xf numFmtId="1" fontId="62" fillId="0" borderId="29" xfId="0" applyNumberFormat="1" applyFont="1" applyBorder="1" applyAlignment="1">
      <alignment horizontal="center"/>
    </xf>
    <xf numFmtId="1" fontId="67" fillId="0" borderId="4" xfId="485" applyNumberFormat="1" applyFont="1" applyFill="1" applyBorder="1" applyAlignment="1">
      <alignment horizontal="center" vertical="center"/>
    </xf>
    <xf numFmtId="1" fontId="62" fillId="0" borderId="28" xfId="0" applyNumberFormat="1" applyFont="1" applyBorder="1" applyAlignment="1">
      <alignment horizontal="center"/>
    </xf>
    <xf numFmtId="1" fontId="62" fillId="63" borderId="4" xfId="0" applyNumberFormat="1" applyFont="1" applyFill="1" applyBorder="1" applyAlignment="1">
      <alignment horizontal="center" vertical="center"/>
    </xf>
    <xf numFmtId="0" fontId="62" fillId="0" borderId="4" xfId="0" applyFont="1" applyBorder="1" applyAlignment="1">
      <alignment horizontal="center" vertical="center" textRotation="90"/>
    </xf>
    <xf numFmtId="0" fontId="64" fillId="0" borderId="4" xfId="0" applyFont="1" applyBorder="1" applyAlignment="1">
      <alignment horizontal="center" vertical="center"/>
    </xf>
    <xf numFmtId="0" fontId="5" fillId="65" borderId="35" xfId="0" applyFont="1" applyFill="1" applyBorder="1" applyAlignment="1">
      <alignment vertical="center"/>
    </xf>
    <xf numFmtId="1" fontId="62" fillId="0" borderId="25" xfId="0" applyNumberFormat="1" applyFont="1" applyBorder="1" applyAlignment="1">
      <alignment horizontal="center"/>
    </xf>
    <xf numFmtId="16" fontId="5" fillId="65" borderId="35" xfId="0" applyNumberFormat="1" applyFont="1" applyFill="1" applyBorder="1" applyAlignment="1">
      <alignment vertical="center"/>
    </xf>
    <xf numFmtId="15" fontId="64" fillId="0" borderId="4" xfId="0" applyNumberFormat="1" applyFont="1" applyBorder="1" applyAlignment="1">
      <alignment horizontal="center" textRotation="90"/>
    </xf>
    <xf numFmtId="166" fontId="62" fillId="0" borderId="0" xfId="0" applyNumberFormat="1" applyFont="1"/>
    <xf numFmtId="0" fontId="5" fillId="65" borderId="37" xfId="0" applyFont="1" applyFill="1" applyBorder="1" applyAlignment="1">
      <alignment horizontal="center" vertical="center"/>
    </xf>
    <xf numFmtId="0" fontId="5" fillId="65" borderId="38" xfId="0" applyFont="1" applyFill="1" applyBorder="1" applyAlignment="1">
      <alignment horizontal="center" vertical="center"/>
    </xf>
    <xf numFmtId="0" fontId="5" fillId="65" borderId="39" xfId="0" applyFont="1" applyFill="1" applyBorder="1" applyAlignment="1">
      <alignment horizontal="center" vertical="center"/>
    </xf>
    <xf numFmtId="0" fontId="62" fillId="0" borderId="39" xfId="0" applyFont="1" applyBorder="1" applyAlignment="1">
      <alignment horizontal="center" vertical="center"/>
    </xf>
    <xf numFmtId="0" fontId="2" fillId="0" borderId="37" xfId="485" applyFont="1" applyBorder="1" applyAlignment="1">
      <alignment horizontal="center" vertical="center"/>
    </xf>
    <xf numFmtId="1" fontId="66" fillId="0" borderId="39" xfId="0" applyNumberFormat="1" applyFont="1" applyBorder="1" applyAlignment="1">
      <alignment horizontal="center" vertical="center"/>
    </xf>
  </cellXfs>
  <cellStyles count="596">
    <cellStyle name=" Task]_x000d__x000a_TaskName=Scan At_x000d__x000a_TaskID=3_x000d__x000a_WorkstationName=SmarTone_x000d__x000a_LastExecuted=0_x000d__x000a_LastSt" xfId="1" xr:uid="{00000000-0005-0000-0000-000000000000}"/>
    <cellStyle name="%" xfId="2" xr:uid="{00000000-0005-0000-0000-000001000000}"/>
    <cellStyle name="_Access Charges - Unit wise Feb 04" xfId="3" xr:uid="{00000000-0005-0000-0000-000002000000}"/>
    <cellStyle name="_Access KPI_Nov 04" xfId="4" xr:uid="{00000000-0005-0000-0000-000003000000}"/>
    <cellStyle name="_BTVL consolidation format_new V 2.7" xfId="5" xr:uid="{00000000-0005-0000-0000-000004000000}"/>
    <cellStyle name="_BTVL Format" xfId="6" xr:uid="{00000000-0005-0000-0000-000005000000}"/>
    <cellStyle name="_Budget 2004-05 V 2.7" xfId="7" xr:uid="{00000000-0005-0000-0000-000006000000}"/>
    <cellStyle name="_Budget HR 2004-05" xfId="8" xr:uid="{00000000-0005-0000-0000-000007000000}"/>
    <cellStyle name="_Budget ver2" xfId="9" xr:uid="{00000000-0005-0000-0000-000008000000}"/>
    <cellStyle name="_Copy of FWP report Mar 2009" xfId="10" xr:uid="{00000000-0005-0000-0000-000009000000}"/>
    <cellStyle name="_Delhi - CAPEX - updated Dec 30" xfId="11" xr:uid="{00000000-0005-0000-0000-00000A000000}"/>
    <cellStyle name="_DSL profitability- Feb '04_Access" xfId="12" xr:uid="{00000000-0005-0000-0000-00000B000000}"/>
    <cellStyle name="_Flash KPI Consol" xfId="13" xr:uid="{00000000-0005-0000-0000-00000C000000}"/>
    <cellStyle name="_FWP report Apr 2009a" xfId="14" xr:uid="{00000000-0005-0000-0000-00000D000000}"/>
    <cellStyle name="_ILD MAPA Format" xfId="15" xr:uid="{00000000-0005-0000-0000-00000E000000}"/>
    <cellStyle name="_Infotel KPI's Cover page" xfId="16" xr:uid="{00000000-0005-0000-0000-00000F000000}"/>
    <cellStyle name="_KPI BBNL" xfId="17" xr:uid="{00000000-0005-0000-0000-000010000000}"/>
    <cellStyle name="_KPI Consolidation version 8" xfId="18" xr:uid="{00000000-0005-0000-0000-000011000000}"/>
    <cellStyle name="_KPI definitions_Draft" xfId="19" xr:uid="{00000000-0005-0000-0000-000012000000}"/>
    <cellStyle name="_MAPA-Nov 04" xfId="20" xr:uid="{00000000-0005-0000-0000-000013000000}"/>
    <cellStyle name="_Opex_11" xfId="21" xr:uid="{00000000-0005-0000-0000-000014000000}"/>
    <cellStyle name="_P&amp;LMobility" xfId="22" xr:uid="{00000000-0005-0000-0000-000015000000}"/>
    <cellStyle name="_Presentation DL Ver.5" xfId="23" xr:uid="{00000000-0005-0000-0000-000016000000}"/>
    <cellStyle name="=C:\WINDOWS\SYSTEM32\COMMAND.COM" xfId="24" xr:uid="{00000000-0005-0000-0000-000017000000}"/>
    <cellStyle name="•W_laroux" xfId="25" xr:uid="{00000000-0005-0000-0000-000018000000}"/>
    <cellStyle name="0000" xfId="26" xr:uid="{00000000-0005-0000-0000-000019000000}"/>
    <cellStyle name="000000" xfId="27" xr:uid="{00000000-0005-0000-0000-00001A000000}"/>
    <cellStyle name="20% - Accent1 1" xfId="28" xr:uid="{00000000-0005-0000-0000-00001B000000}"/>
    <cellStyle name="20% - Accent1 2" xfId="29" xr:uid="{00000000-0005-0000-0000-00001C000000}"/>
    <cellStyle name="20% - Accent1 2 2" xfId="30" xr:uid="{00000000-0005-0000-0000-00001D000000}"/>
    <cellStyle name="20% - Accent1 2 3" xfId="31" xr:uid="{00000000-0005-0000-0000-00001E000000}"/>
    <cellStyle name="20% - Accent1 2 4" xfId="32" xr:uid="{00000000-0005-0000-0000-00001F000000}"/>
    <cellStyle name="20% - Accent1 2 5" xfId="33" xr:uid="{00000000-0005-0000-0000-000020000000}"/>
    <cellStyle name="20% - Accent1 2_B &amp; A group-Sep-09" xfId="34" xr:uid="{00000000-0005-0000-0000-000021000000}"/>
    <cellStyle name="20% - Accent1 3" xfId="35" xr:uid="{00000000-0005-0000-0000-000022000000}"/>
    <cellStyle name="20% - Accent1 4" xfId="36" xr:uid="{00000000-0005-0000-0000-000023000000}"/>
    <cellStyle name="20% - Accent1 5" xfId="37" xr:uid="{00000000-0005-0000-0000-000024000000}"/>
    <cellStyle name="20% - Accent2 1" xfId="38" xr:uid="{00000000-0005-0000-0000-000025000000}"/>
    <cellStyle name="20% - Accent2 2" xfId="39" xr:uid="{00000000-0005-0000-0000-000026000000}"/>
    <cellStyle name="20% - Accent2 2 2" xfId="40" xr:uid="{00000000-0005-0000-0000-000027000000}"/>
    <cellStyle name="20% - Accent2 2 3" xfId="41" xr:uid="{00000000-0005-0000-0000-000028000000}"/>
    <cellStyle name="20% - Accent2 2 4" xfId="42" xr:uid="{00000000-0005-0000-0000-000029000000}"/>
    <cellStyle name="20% - Accent2 2 5" xfId="43" xr:uid="{00000000-0005-0000-0000-00002A000000}"/>
    <cellStyle name="20% - Accent2 2_B &amp; A group-Sep-09" xfId="44" xr:uid="{00000000-0005-0000-0000-00002B000000}"/>
    <cellStyle name="20% - Accent2 3" xfId="45" xr:uid="{00000000-0005-0000-0000-00002C000000}"/>
    <cellStyle name="20% - Accent2 4" xfId="46" xr:uid="{00000000-0005-0000-0000-00002D000000}"/>
    <cellStyle name="20% - Accent2 5" xfId="47" xr:uid="{00000000-0005-0000-0000-00002E000000}"/>
    <cellStyle name="20% - Accent3 1" xfId="48" xr:uid="{00000000-0005-0000-0000-000030000000}"/>
    <cellStyle name="20% - Accent3 2" xfId="49" xr:uid="{00000000-0005-0000-0000-000031000000}"/>
    <cellStyle name="20% - Accent3 2 2" xfId="50" xr:uid="{00000000-0005-0000-0000-000032000000}"/>
    <cellStyle name="20% - Accent3 2 3" xfId="51" xr:uid="{00000000-0005-0000-0000-000033000000}"/>
    <cellStyle name="20% - Accent3 2 4" xfId="52" xr:uid="{00000000-0005-0000-0000-000034000000}"/>
    <cellStyle name="20% - Accent3 2 5" xfId="53" xr:uid="{00000000-0005-0000-0000-000035000000}"/>
    <cellStyle name="20% - Accent3 2_B &amp; A group-Sep-09" xfId="54" xr:uid="{00000000-0005-0000-0000-000036000000}"/>
    <cellStyle name="20% - Accent3 3" xfId="55" xr:uid="{00000000-0005-0000-0000-000037000000}"/>
    <cellStyle name="20% - Accent3 4" xfId="56" xr:uid="{00000000-0005-0000-0000-000038000000}"/>
    <cellStyle name="20% - Accent3 5" xfId="57" xr:uid="{00000000-0005-0000-0000-000039000000}"/>
    <cellStyle name="20% - Accent4 1" xfId="58" xr:uid="{00000000-0005-0000-0000-00003A000000}"/>
    <cellStyle name="20% - Accent4 2" xfId="59" xr:uid="{00000000-0005-0000-0000-00003B000000}"/>
    <cellStyle name="20% - Accent4 2 2" xfId="60" xr:uid="{00000000-0005-0000-0000-00003C000000}"/>
    <cellStyle name="20% - Accent4 2 3" xfId="61" xr:uid="{00000000-0005-0000-0000-00003D000000}"/>
    <cellStyle name="20% - Accent4 2 4" xfId="62" xr:uid="{00000000-0005-0000-0000-00003E000000}"/>
    <cellStyle name="20% - Accent4 2 5" xfId="63" xr:uid="{00000000-0005-0000-0000-00003F000000}"/>
    <cellStyle name="20% - Accent4 2_B &amp; A group-Sep-09" xfId="64" xr:uid="{00000000-0005-0000-0000-000040000000}"/>
    <cellStyle name="20% - Accent4 3" xfId="65" xr:uid="{00000000-0005-0000-0000-000041000000}"/>
    <cellStyle name="20% - Accent4 4" xfId="66" xr:uid="{00000000-0005-0000-0000-000042000000}"/>
    <cellStyle name="20% - Accent4 5" xfId="67" xr:uid="{00000000-0005-0000-0000-000043000000}"/>
    <cellStyle name="20% - Accent5 1" xfId="68" xr:uid="{00000000-0005-0000-0000-000044000000}"/>
    <cellStyle name="20% - Accent5 2" xfId="69" xr:uid="{00000000-0005-0000-0000-000045000000}"/>
    <cellStyle name="20% - Accent5 2 2" xfId="70" xr:uid="{00000000-0005-0000-0000-000046000000}"/>
    <cellStyle name="20% - Accent5 2 3" xfId="71" xr:uid="{00000000-0005-0000-0000-000047000000}"/>
    <cellStyle name="20% - Accent5 2 4" xfId="72" xr:uid="{00000000-0005-0000-0000-000048000000}"/>
    <cellStyle name="20% - Accent5 2 5" xfId="73" xr:uid="{00000000-0005-0000-0000-000049000000}"/>
    <cellStyle name="20% - Accent5 2_B &amp; A group-Sep-09" xfId="74" xr:uid="{00000000-0005-0000-0000-00004A000000}"/>
    <cellStyle name="20% - Accent5 3" xfId="75" xr:uid="{00000000-0005-0000-0000-00004B000000}"/>
    <cellStyle name="20% - Accent5 4" xfId="76" xr:uid="{00000000-0005-0000-0000-00004C000000}"/>
    <cellStyle name="20% - Accent5 5" xfId="77" xr:uid="{00000000-0005-0000-0000-00004D000000}"/>
    <cellStyle name="20% - Accent6 1" xfId="78" xr:uid="{00000000-0005-0000-0000-00004E000000}"/>
    <cellStyle name="20% - Accent6 2" xfId="79" xr:uid="{00000000-0005-0000-0000-00004F000000}"/>
    <cellStyle name="20% - Accent6 2 2" xfId="80" xr:uid="{00000000-0005-0000-0000-000050000000}"/>
    <cellStyle name="20% - Accent6 2 3" xfId="81" xr:uid="{00000000-0005-0000-0000-000051000000}"/>
    <cellStyle name="20% - Accent6 2 4" xfId="82" xr:uid="{00000000-0005-0000-0000-000052000000}"/>
    <cellStyle name="20% - Accent6 2 5" xfId="83" xr:uid="{00000000-0005-0000-0000-000053000000}"/>
    <cellStyle name="20% - Accent6 2_B &amp; A group-Sep-09" xfId="84" xr:uid="{00000000-0005-0000-0000-000054000000}"/>
    <cellStyle name="20% - Accent6 3" xfId="85" xr:uid="{00000000-0005-0000-0000-000055000000}"/>
    <cellStyle name="20% - Accent6 4" xfId="86" xr:uid="{00000000-0005-0000-0000-000056000000}"/>
    <cellStyle name="20% - Accent6 5" xfId="87" xr:uid="{00000000-0005-0000-0000-000057000000}"/>
    <cellStyle name="40% - Accent1 1" xfId="88" xr:uid="{00000000-0005-0000-0000-000058000000}"/>
    <cellStyle name="40% - Accent1 2" xfId="89" xr:uid="{00000000-0005-0000-0000-000059000000}"/>
    <cellStyle name="40% - Accent1 2 2" xfId="90" xr:uid="{00000000-0005-0000-0000-00005A000000}"/>
    <cellStyle name="40% - Accent1 2 3" xfId="91" xr:uid="{00000000-0005-0000-0000-00005B000000}"/>
    <cellStyle name="40% - Accent1 2 4" xfId="92" xr:uid="{00000000-0005-0000-0000-00005C000000}"/>
    <cellStyle name="40% - Accent1 2 5" xfId="93" xr:uid="{00000000-0005-0000-0000-00005D000000}"/>
    <cellStyle name="40% - Accent1 2_B &amp; A group-Sep-09" xfId="94" xr:uid="{00000000-0005-0000-0000-00005E000000}"/>
    <cellStyle name="40% - Accent1 3" xfId="95" xr:uid="{00000000-0005-0000-0000-00005F000000}"/>
    <cellStyle name="40% - Accent1 4" xfId="96" xr:uid="{00000000-0005-0000-0000-000060000000}"/>
    <cellStyle name="40% - Accent1 5" xfId="97" xr:uid="{00000000-0005-0000-0000-000061000000}"/>
    <cellStyle name="40% - Accent2 1" xfId="98" xr:uid="{00000000-0005-0000-0000-000062000000}"/>
    <cellStyle name="40% - Accent2 2" xfId="99" xr:uid="{00000000-0005-0000-0000-000063000000}"/>
    <cellStyle name="40% - Accent2 2 2" xfId="100" xr:uid="{00000000-0005-0000-0000-000064000000}"/>
    <cellStyle name="40% - Accent2 2 3" xfId="101" xr:uid="{00000000-0005-0000-0000-000065000000}"/>
    <cellStyle name="40% - Accent2 2 4" xfId="102" xr:uid="{00000000-0005-0000-0000-000066000000}"/>
    <cellStyle name="40% - Accent2 2 5" xfId="103" xr:uid="{00000000-0005-0000-0000-000067000000}"/>
    <cellStyle name="40% - Accent2 2_B &amp; A group-Sep-09" xfId="104" xr:uid="{00000000-0005-0000-0000-000068000000}"/>
    <cellStyle name="40% - Accent2 3" xfId="105" xr:uid="{00000000-0005-0000-0000-000069000000}"/>
    <cellStyle name="40% - Accent2 4" xfId="106" xr:uid="{00000000-0005-0000-0000-00006A000000}"/>
    <cellStyle name="40% - Accent2 5" xfId="107" xr:uid="{00000000-0005-0000-0000-00006B000000}"/>
    <cellStyle name="40% - Accent3 1" xfId="108" xr:uid="{00000000-0005-0000-0000-00006C000000}"/>
    <cellStyle name="40% - Accent3 2" xfId="109" xr:uid="{00000000-0005-0000-0000-00006D000000}"/>
    <cellStyle name="40% - Accent3 2 2" xfId="110" xr:uid="{00000000-0005-0000-0000-00006E000000}"/>
    <cellStyle name="40% - Accent3 2 3" xfId="111" xr:uid="{00000000-0005-0000-0000-00006F000000}"/>
    <cellStyle name="40% - Accent3 2 4" xfId="112" xr:uid="{00000000-0005-0000-0000-000070000000}"/>
    <cellStyle name="40% - Accent3 2 5" xfId="113" xr:uid="{00000000-0005-0000-0000-000071000000}"/>
    <cellStyle name="40% - Accent3 2_B &amp; A group-Sep-09" xfId="114" xr:uid="{00000000-0005-0000-0000-000072000000}"/>
    <cellStyle name="40% - Accent3 3" xfId="115" xr:uid="{00000000-0005-0000-0000-000073000000}"/>
    <cellStyle name="40% - Accent3 4" xfId="116" xr:uid="{00000000-0005-0000-0000-000074000000}"/>
    <cellStyle name="40% - Accent3 5" xfId="117" xr:uid="{00000000-0005-0000-0000-000075000000}"/>
    <cellStyle name="40% - Accent4 1" xfId="118" xr:uid="{00000000-0005-0000-0000-000076000000}"/>
    <cellStyle name="40% - Accent4 2" xfId="119" xr:uid="{00000000-0005-0000-0000-000077000000}"/>
    <cellStyle name="40% - Accent4 2 2" xfId="120" xr:uid="{00000000-0005-0000-0000-000078000000}"/>
    <cellStyle name="40% - Accent4 2 3" xfId="121" xr:uid="{00000000-0005-0000-0000-000079000000}"/>
    <cellStyle name="40% - Accent4 2 4" xfId="122" xr:uid="{00000000-0005-0000-0000-00007A000000}"/>
    <cellStyle name="40% - Accent4 2 5" xfId="123" xr:uid="{00000000-0005-0000-0000-00007B000000}"/>
    <cellStyle name="40% - Accent4 2_B &amp; A group-Sep-09" xfId="124" xr:uid="{00000000-0005-0000-0000-00007C000000}"/>
    <cellStyle name="40% - Accent4 3" xfId="125" xr:uid="{00000000-0005-0000-0000-00007D000000}"/>
    <cellStyle name="40% - Accent4 4" xfId="126" xr:uid="{00000000-0005-0000-0000-00007E000000}"/>
    <cellStyle name="40% - Accent4 5" xfId="127" xr:uid="{00000000-0005-0000-0000-00007F000000}"/>
    <cellStyle name="40% - Accent5 1" xfId="128" xr:uid="{00000000-0005-0000-0000-000080000000}"/>
    <cellStyle name="40% - Accent5 2" xfId="129" xr:uid="{00000000-0005-0000-0000-000081000000}"/>
    <cellStyle name="40% - Accent5 2 2" xfId="130" xr:uid="{00000000-0005-0000-0000-000082000000}"/>
    <cellStyle name="40% - Accent5 2 3" xfId="131" xr:uid="{00000000-0005-0000-0000-000083000000}"/>
    <cellStyle name="40% - Accent5 2 4" xfId="132" xr:uid="{00000000-0005-0000-0000-000084000000}"/>
    <cellStyle name="40% - Accent5 2 5" xfId="133" xr:uid="{00000000-0005-0000-0000-000085000000}"/>
    <cellStyle name="40% - Accent5 2_B &amp; A group-Sep-09" xfId="134" xr:uid="{00000000-0005-0000-0000-000086000000}"/>
    <cellStyle name="40% - Accent5 3" xfId="135" xr:uid="{00000000-0005-0000-0000-000087000000}"/>
    <cellStyle name="40% - Accent5 4" xfId="136" xr:uid="{00000000-0005-0000-0000-000088000000}"/>
    <cellStyle name="40% - Accent5 5" xfId="137" xr:uid="{00000000-0005-0000-0000-000089000000}"/>
    <cellStyle name="40% - Accent6 1" xfId="138" xr:uid="{00000000-0005-0000-0000-00008A000000}"/>
    <cellStyle name="40% - Accent6 2" xfId="139" xr:uid="{00000000-0005-0000-0000-00008B000000}"/>
    <cellStyle name="40% - Accent6 2 2" xfId="140" xr:uid="{00000000-0005-0000-0000-00008C000000}"/>
    <cellStyle name="40% - Accent6 2 3" xfId="141" xr:uid="{00000000-0005-0000-0000-00008D000000}"/>
    <cellStyle name="40% - Accent6 2 4" xfId="142" xr:uid="{00000000-0005-0000-0000-00008E000000}"/>
    <cellStyle name="40% - Accent6 2 5" xfId="143" xr:uid="{00000000-0005-0000-0000-00008F000000}"/>
    <cellStyle name="40% - Accent6 2_B &amp; A group-Sep-09" xfId="144" xr:uid="{00000000-0005-0000-0000-000090000000}"/>
    <cellStyle name="40% - Accent6 3" xfId="145" xr:uid="{00000000-0005-0000-0000-000091000000}"/>
    <cellStyle name="40% - Accent6 4" xfId="146" xr:uid="{00000000-0005-0000-0000-000092000000}"/>
    <cellStyle name="40% - Accent6 5" xfId="147" xr:uid="{00000000-0005-0000-0000-000093000000}"/>
    <cellStyle name="60% - Accent1 1" xfId="148" xr:uid="{00000000-0005-0000-0000-000094000000}"/>
    <cellStyle name="60% - Accent1 2" xfId="149" xr:uid="{00000000-0005-0000-0000-000095000000}"/>
    <cellStyle name="60% - Accent1 2 2" xfId="150" xr:uid="{00000000-0005-0000-0000-000096000000}"/>
    <cellStyle name="60% - Accent1 2 3" xfId="151" xr:uid="{00000000-0005-0000-0000-000097000000}"/>
    <cellStyle name="60% - Accent1 2 4" xfId="152" xr:uid="{00000000-0005-0000-0000-000098000000}"/>
    <cellStyle name="60% - Accent1 2 5" xfId="153" xr:uid="{00000000-0005-0000-0000-000099000000}"/>
    <cellStyle name="60% - Accent1 2_B &amp; A group-Sep-09" xfId="154" xr:uid="{00000000-0005-0000-0000-00009A000000}"/>
    <cellStyle name="60% - Accent1 3" xfId="155" xr:uid="{00000000-0005-0000-0000-00009B000000}"/>
    <cellStyle name="60% - Accent1 4" xfId="156" xr:uid="{00000000-0005-0000-0000-00009C000000}"/>
    <cellStyle name="60% - Accent1 5" xfId="157" xr:uid="{00000000-0005-0000-0000-00009D000000}"/>
    <cellStyle name="60% - Accent2 1" xfId="158" xr:uid="{00000000-0005-0000-0000-00009E000000}"/>
    <cellStyle name="60% - Accent2 2" xfId="159" xr:uid="{00000000-0005-0000-0000-00009F000000}"/>
    <cellStyle name="60% - Accent2 2 2" xfId="160" xr:uid="{00000000-0005-0000-0000-0000A0000000}"/>
    <cellStyle name="60% - Accent2 2 3" xfId="161" xr:uid="{00000000-0005-0000-0000-0000A1000000}"/>
    <cellStyle name="60% - Accent2 2 4" xfId="162" xr:uid="{00000000-0005-0000-0000-0000A2000000}"/>
    <cellStyle name="60% - Accent2 2 5" xfId="163" xr:uid="{00000000-0005-0000-0000-0000A3000000}"/>
    <cellStyle name="60% - Accent2 2_B &amp; A group-Sep-09" xfId="164" xr:uid="{00000000-0005-0000-0000-0000A4000000}"/>
    <cellStyle name="60% - Accent2 3" xfId="165" xr:uid="{00000000-0005-0000-0000-0000A5000000}"/>
    <cellStyle name="60% - Accent2 4" xfId="166" xr:uid="{00000000-0005-0000-0000-0000A6000000}"/>
    <cellStyle name="60% - Accent2 5" xfId="167" xr:uid="{00000000-0005-0000-0000-0000A7000000}"/>
    <cellStyle name="60% - Accent3 1" xfId="168" xr:uid="{00000000-0005-0000-0000-0000A8000000}"/>
    <cellStyle name="60% - Accent3 2" xfId="169" xr:uid="{00000000-0005-0000-0000-0000A9000000}"/>
    <cellStyle name="60% - Accent3 2 2" xfId="170" xr:uid="{00000000-0005-0000-0000-0000AA000000}"/>
    <cellStyle name="60% - Accent3 2 3" xfId="171" xr:uid="{00000000-0005-0000-0000-0000AB000000}"/>
    <cellStyle name="60% - Accent3 2 4" xfId="172" xr:uid="{00000000-0005-0000-0000-0000AC000000}"/>
    <cellStyle name="60% - Accent3 2 5" xfId="173" xr:uid="{00000000-0005-0000-0000-0000AD000000}"/>
    <cellStyle name="60% - Accent3 2_B &amp; A group-Sep-09" xfId="174" xr:uid="{00000000-0005-0000-0000-0000AE000000}"/>
    <cellStyle name="60% - Accent3 3" xfId="175" xr:uid="{00000000-0005-0000-0000-0000AF000000}"/>
    <cellStyle name="60% - Accent3 4" xfId="176" xr:uid="{00000000-0005-0000-0000-0000B0000000}"/>
    <cellStyle name="60% - Accent3 5" xfId="177" xr:uid="{00000000-0005-0000-0000-0000B1000000}"/>
    <cellStyle name="60% - Accent4 1" xfId="178" xr:uid="{00000000-0005-0000-0000-0000B2000000}"/>
    <cellStyle name="60% - Accent4 2" xfId="179" xr:uid="{00000000-0005-0000-0000-0000B3000000}"/>
    <cellStyle name="60% - Accent4 2 2" xfId="180" xr:uid="{00000000-0005-0000-0000-0000B4000000}"/>
    <cellStyle name="60% - Accent4 2 3" xfId="181" xr:uid="{00000000-0005-0000-0000-0000B5000000}"/>
    <cellStyle name="60% - Accent4 2 4" xfId="182" xr:uid="{00000000-0005-0000-0000-0000B6000000}"/>
    <cellStyle name="60% - Accent4 2 5" xfId="183" xr:uid="{00000000-0005-0000-0000-0000B7000000}"/>
    <cellStyle name="60% - Accent4 2_B &amp; A group-Sep-09" xfId="184" xr:uid="{00000000-0005-0000-0000-0000B8000000}"/>
    <cellStyle name="60% - Accent4 3" xfId="185" xr:uid="{00000000-0005-0000-0000-0000B9000000}"/>
    <cellStyle name="60% - Accent4 4" xfId="186" xr:uid="{00000000-0005-0000-0000-0000BA000000}"/>
    <cellStyle name="60% - Accent4 5" xfId="187" xr:uid="{00000000-0005-0000-0000-0000BB000000}"/>
    <cellStyle name="60% - Accent5 1" xfId="188" xr:uid="{00000000-0005-0000-0000-0000BC000000}"/>
    <cellStyle name="60% - Accent5 2" xfId="189" xr:uid="{00000000-0005-0000-0000-0000BD000000}"/>
    <cellStyle name="60% - Accent5 2 2" xfId="190" xr:uid="{00000000-0005-0000-0000-0000BE000000}"/>
    <cellStyle name="60% - Accent5 2 3" xfId="191" xr:uid="{00000000-0005-0000-0000-0000BF000000}"/>
    <cellStyle name="60% - Accent5 2 4" xfId="192" xr:uid="{00000000-0005-0000-0000-0000C0000000}"/>
    <cellStyle name="60% - Accent5 2 5" xfId="193" xr:uid="{00000000-0005-0000-0000-0000C1000000}"/>
    <cellStyle name="60% - Accent5 2_B &amp; A group-Sep-09" xfId="194" xr:uid="{00000000-0005-0000-0000-0000C2000000}"/>
    <cellStyle name="60% - Accent5 3" xfId="195" xr:uid="{00000000-0005-0000-0000-0000C3000000}"/>
    <cellStyle name="60% - Accent5 4" xfId="196" xr:uid="{00000000-0005-0000-0000-0000C4000000}"/>
    <cellStyle name="60% - Accent5 5" xfId="197" xr:uid="{00000000-0005-0000-0000-0000C5000000}"/>
    <cellStyle name="60% - Accent6 1" xfId="198" xr:uid="{00000000-0005-0000-0000-0000C6000000}"/>
    <cellStyle name="60% - Accent6 2" xfId="199" xr:uid="{00000000-0005-0000-0000-0000C7000000}"/>
    <cellStyle name="60% - Accent6 2 2" xfId="200" xr:uid="{00000000-0005-0000-0000-0000C8000000}"/>
    <cellStyle name="60% - Accent6 2 3" xfId="201" xr:uid="{00000000-0005-0000-0000-0000C9000000}"/>
    <cellStyle name="60% - Accent6 2 4" xfId="202" xr:uid="{00000000-0005-0000-0000-0000CA000000}"/>
    <cellStyle name="60% - Accent6 2 5" xfId="203" xr:uid="{00000000-0005-0000-0000-0000CB000000}"/>
    <cellStyle name="60% - Accent6 2_B &amp; A group-Sep-09" xfId="204" xr:uid="{00000000-0005-0000-0000-0000CC000000}"/>
    <cellStyle name="60% - Accent6 3" xfId="205" xr:uid="{00000000-0005-0000-0000-0000CD000000}"/>
    <cellStyle name="60% - Accent6 4" xfId="206" xr:uid="{00000000-0005-0000-0000-0000CE000000}"/>
    <cellStyle name="60% - Accent6 5" xfId="207" xr:uid="{00000000-0005-0000-0000-0000CF000000}"/>
    <cellStyle name="Accent1 1" xfId="208" xr:uid="{00000000-0005-0000-0000-0000D0000000}"/>
    <cellStyle name="Accent1 2" xfId="209" xr:uid="{00000000-0005-0000-0000-0000D1000000}"/>
    <cellStyle name="Accent1 2 2" xfId="210" xr:uid="{00000000-0005-0000-0000-0000D2000000}"/>
    <cellStyle name="Accent1 2 3" xfId="211" xr:uid="{00000000-0005-0000-0000-0000D3000000}"/>
    <cellStyle name="Accent1 2 4" xfId="212" xr:uid="{00000000-0005-0000-0000-0000D4000000}"/>
    <cellStyle name="Accent1 2 5" xfId="213" xr:uid="{00000000-0005-0000-0000-0000D5000000}"/>
    <cellStyle name="Accent1 2_B &amp; A group-Sep-09" xfId="214" xr:uid="{00000000-0005-0000-0000-0000D6000000}"/>
    <cellStyle name="Accent1 3" xfId="215" xr:uid="{00000000-0005-0000-0000-0000D7000000}"/>
    <cellStyle name="Accent1 4" xfId="216" xr:uid="{00000000-0005-0000-0000-0000D8000000}"/>
    <cellStyle name="Accent1 5" xfId="217" xr:uid="{00000000-0005-0000-0000-0000D9000000}"/>
    <cellStyle name="Accent2 1" xfId="218" xr:uid="{00000000-0005-0000-0000-0000DA000000}"/>
    <cellStyle name="Accent2 2" xfId="219" xr:uid="{00000000-0005-0000-0000-0000DB000000}"/>
    <cellStyle name="Accent2 2 2" xfId="220" xr:uid="{00000000-0005-0000-0000-0000DC000000}"/>
    <cellStyle name="Accent2 2 3" xfId="221" xr:uid="{00000000-0005-0000-0000-0000DD000000}"/>
    <cellStyle name="Accent2 2 4" xfId="222" xr:uid="{00000000-0005-0000-0000-0000DE000000}"/>
    <cellStyle name="Accent2 2 5" xfId="223" xr:uid="{00000000-0005-0000-0000-0000DF000000}"/>
    <cellStyle name="Accent2 2_B &amp; A group-Sep-09" xfId="224" xr:uid="{00000000-0005-0000-0000-0000E0000000}"/>
    <cellStyle name="Accent2 3" xfId="225" xr:uid="{00000000-0005-0000-0000-0000E1000000}"/>
    <cellStyle name="Accent2 4" xfId="226" xr:uid="{00000000-0005-0000-0000-0000E2000000}"/>
    <cellStyle name="Accent2 5" xfId="227" xr:uid="{00000000-0005-0000-0000-0000E3000000}"/>
    <cellStyle name="Accent3 1" xfId="228" xr:uid="{00000000-0005-0000-0000-0000E4000000}"/>
    <cellStyle name="Accent3 2" xfId="229" xr:uid="{00000000-0005-0000-0000-0000E5000000}"/>
    <cellStyle name="Accent3 2 2" xfId="230" xr:uid="{00000000-0005-0000-0000-0000E6000000}"/>
    <cellStyle name="Accent3 2 3" xfId="231" xr:uid="{00000000-0005-0000-0000-0000E7000000}"/>
    <cellStyle name="Accent3 2 4" xfId="232" xr:uid="{00000000-0005-0000-0000-0000E8000000}"/>
    <cellStyle name="Accent3 2 5" xfId="233" xr:uid="{00000000-0005-0000-0000-0000E9000000}"/>
    <cellStyle name="Accent3 2_B &amp; A group-Sep-09" xfId="234" xr:uid="{00000000-0005-0000-0000-0000EA000000}"/>
    <cellStyle name="Accent3 3" xfId="235" xr:uid="{00000000-0005-0000-0000-0000EB000000}"/>
    <cellStyle name="Accent3 4" xfId="236" xr:uid="{00000000-0005-0000-0000-0000EC000000}"/>
    <cellStyle name="Accent3 5" xfId="237" xr:uid="{00000000-0005-0000-0000-0000ED000000}"/>
    <cellStyle name="Accent4 1" xfId="238" xr:uid="{00000000-0005-0000-0000-0000EE000000}"/>
    <cellStyle name="Accent4 2" xfId="239" xr:uid="{00000000-0005-0000-0000-0000EF000000}"/>
    <cellStyle name="Accent4 2 2" xfId="240" xr:uid="{00000000-0005-0000-0000-0000F0000000}"/>
    <cellStyle name="Accent4 2 3" xfId="241" xr:uid="{00000000-0005-0000-0000-0000F1000000}"/>
    <cellStyle name="Accent4 2 4" xfId="242" xr:uid="{00000000-0005-0000-0000-0000F2000000}"/>
    <cellStyle name="Accent4 2 5" xfId="243" xr:uid="{00000000-0005-0000-0000-0000F3000000}"/>
    <cellStyle name="Accent4 2_B &amp; A group-Sep-09" xfId="244" xr:uid="{00000000-0005-0000-0000-0000F4000000}"/>
    <cellStyle name="Accent4 3" xfId="245" xr:uid="{00000000-0005-0000-0000-0000F5000000}"/>
    <cellStyle name="Accent4 4" xfId="246" xr:uid="{00000000-0005-0000-0000-0000F6000000}"/>
    <cellStyle name="Accent4 5" xfId="247" xr:uid="{00000000-0005-0000-0000-0000F7000000}"/>
    <cellStyle name="Accent5 1" xfId="248" xr:uid="{00000000-0005-0000-0000-0000F8000000}"/>
    <cellStyle name="Accent5 2" xfId="249" xr:uid="{00000000-0005-0000-0000-0000F9000000}"/>
    <cellStyle name="Accent5 2 2" xfId="250" xr:uid="{00000000-0005-0000-0000-0000FA000000}"/>
    <cellStyle name="Accent5 2 3" xfId="251" xr:uid="{00000000-0005-0000-0000-0000FB000000}"/>
    <cellStyle name="Accent5 2 4" xfId="252" xr:uid="{00000000-0005-0000-0000-0000FC000000}"/>
    <cellStyle name="Accent5 2 5" xfId="253" xr:uid="{00000000-0005-0000-0000-0000FD000000}"/>
    <cellStyle name="Accent5 2_B &amp; A group-Sep-09" xfId="254" xr:uid="{00000000-0005-0000-0000-0000FE000000}"/>
    <cellStyle name="Accent5 3" xfId="255" xr:uid="{00000000-0005-0000-0000-0000FF000000}"/>
    <cellStyle name="Accent5 4" xfId="256" xr:uid="{00000000-0005-0000-0000-000000010000}"/>
    <cellStyle name="Accent5 5" xfId="257" xr:uid="{00000000-0005-0000-0000-000001010000}"/>
    <cellStyle name="Accent6 1" xfId="258" xr:uid="{00000000-0005-0000-0000-000002010000}"/>
    <cellStyle name="Accent6 2" xfId="259" xr:uid="{00000000-0005-0000-0000-000003010000}"/>
    <cellStyle name="Accent6 2 2" xfId="260" xr:uid="{00000000-0005-0000-0000-000004010000}"/>
    <cellStyle name="Accent6 2 3" xfId="261" xr:uid="{00000000-0005-0000-0000-000005010000}"/>
    <cellStyle name="Accent6 2 4" xfId="262" xr:uid="{00000000-0005-0000-0000-000006010000}"/>
    <cellStyle name="Accent6 2 5" xfId="263" xr:uid="{00000000-0005-0000-0000-000007010000}"/>
    <cellStyle name="Accent6 2_B &amp; A group-Sep-09" xfId="264" xr:uid="{00000000-0005-0000-0000-000008010000}"/>
    <cellStyle name="Accent6 3" xfId="265" xr:uid="{00000000-0005-0000-0000-000009010000}"/>
    <cellStyle name="Accent6 4" xfId="266" xr:uid="{00000000-0005-0000-0000-00000A010000}"/>
    <cellStyle name="Accent6 5" xfId="267" xr:uid="{00000000-0005-0000-0000-00000B010000}"/>
    <cellStyle name="Bad 1" xfId="268" xr:uid="{00000000-0005-0000-0000-00000C010000}"/>
    <cellStyle name="Bad 2" xfId="269" xr:uid="{00000000-0005-0000-0000-00000D010000}"/>
    <cellStyle name="Bad 2 2" xfId="270" xr:uid="{00000000-0005-0000-0000-00000E010000}"/>
    <cellStyle name="Bad 2 3" xfId="271" xr:uid="{00000000-0005-0000-0000-00000F010000}"/>
    <cellStyle name="Bad 2 4" xfId="272" xr:uid="{00000000-0005-0000-0000-000010010000}"/>
    <cellStyle name="Bad 2 5" xfId="273" xr:uid="{00000000-0005-0000-0000-000011010000}"/>
    <cellStyle name="Bad 2_B &amp; A group-Sep-09" xfId="274" xr:uid="{00000000-0005-0000-0000-000012010000}"/>
    <cellStyle name="Bad 3" xfId="275" xr:uid="{00000000-0005-0000-0000-000013010000}"/>
    <cellStyle name="Bad 4" xfId="276" xr:uid="{00000000-0005-0000-0000-000014010000}"/>
    <cellStyle name="Bad 5" xfId="277" xr:uid="{00000000-0005-0000-0000-000015010000}"/>
    <cellStyle name="blank" xfId="278" xr:uid="{00000000-0005-0000-0000-000016010000}"/>
    <cellStyle name="Body" xfId="279" xr:uid="{00000000-0005-0000-0000-000017010000}"/>
    <cellStyle name="Boxed" xfId="280" xr:uid="{00000000-0005-0000-0000-000018010000}"/>
    <cellStyle name="Calc Currency (0)" xfId="281" xr:uid="{00000000-0005-0000-0000-000019010000}"/>
    <cellStyle name="Calc Currency (2)" xfId="282" xr:uid="{00000000-0005-0000-0000-00001A010000}"/>
    <cellStyle name="Calc Percent (0)" xfId="283" xr:uid="{00000000-0005-0000-0000-00001B010000}"/>
    <cellStyle name="Calc Percent (1)" xfId="284" xr:uid="{00000000-0005-0000-0000-00001C010000}"/>
    <cellStyle name="Calc Percent (2)" xfId="285" xr:uid="{00000000-0005-0000-0000-00001D010000}"/>
    <cellStyle name="Calc Units (0)" xfId="286" xr:uid="{00000000-0005-0000-0000-00001E010000}"/>
    <cellStyle name="Calc Units (1)" xfId="287" xr:uid="{00000000-0005-0000-0000-00001F010000}"/>
    <cellStyle name="Calc Units (2)" xfId="288" xr:uid="{00000000-0005-0000-0000-000020010000}"/>
    <cellStyle name="Calculation 1" xfId="289" xr:uid="{00000000-0005-0000-0000-000021010000}"/>
    <cellStyle name="Calculation 2" xfId="290" xr:uid="{00000000-0005-0000-0000-000022010000}"/>
    <cellStyle name="Calculation 2 2" xfId="291" xr:uid="{00000000-0005-0000-0000-000023010000}"/>
    <cellStyle name="Calculation 2 3" xfId="292" xr:uid="{00000000-0005-0000-0000-000024010000}"/>
    <cellStyle name="Calculation 2 4" xfId="293" xr:uid="{00000000-0005-0000-0000-000025010000}"/>
    <cellStyle name="Calculation 2 5" xfId="294" xr:uid="{00000000-0005-0000-0000-000026010000}"/>
    <cellStyle name="Calculation 2_B &amp; A group-Sep-09" xfId="295" xr:uid="{00000000-0005-0000-0000-000027010000}"/>
    <cellStyle name="Calculation 3" xfId="296" xr:uid="{00000000-0005-0000-0000-000028010000}"/>
    <cellStyle name="Calculation 4" xfId="297" xr:uid="{00000000-0005-0000-0000-000029010000}"/>
    <cellStyle name="Calculation 5" xfId="298" xr:uid="{00000000-0005-0000-0000-00002A010000}"/>
    <cellStyle name="Check Cell 1" xfId="299" xr:uid="{00000000-0005-0000-0000-00002B010000}"/>
    <cellStyle name="Check Cell 2" xfId="300" xr:uid="{00000000-0005-0000-0000-00002C010000}"/>
    <cellStyle name="Check Cell 2 2" xfId="301" xr:uid="{00000000-0005-0000-0000-00002D010000}"/>
    <cellStyle name="Check Cell 2 3" xfId="302" xr:uid="{00000000-0005-0000-0000-00002E010000}"/>
    <cellStyle name="Check Cell 2 4" xfId="303" xr:uid="{00000000-0005-0000-0000-00002F010000}"/>
    <cellStyle name="Check Cell 2 5" xfId="304" xr:uid="{00000000-0005-0000-0000-000030010000}"/>
    <cellStyle name="Check Cell 2_B &amp; A group-Sep-09" xfId="305" xr:uid="{00000000-0005-0000-0000-000031010000}"/>
    <cellStyle name="Check Cell 3" xfId="306" xr:uid="{00000000-0005-0000-0000-000032010000}"/>
    <cellStyle name="Check Cell 4" xfId="307" xr:uid="{00000000-0005-0000-0000-000033010000}"/>
    <cellStyle name="Check Cell 5" xfId="308" xr:uid="{00000000-0005-0000-0000-000034010000}"/>
    <cellStyle name="ColHeading" xfId="309" xr:uid="{00000000-0005-0000-0000-000035010000}"/>
    <cellStyle name="Colour" xfId="310" xr:uid="{00000000-0005-0000-0000-000036010000}"/>
    <cellStyle name="Comma [00]" xfId="311" xr:uid="{00000000-0005-0000-0000-000037010000}"/>
    <cellStyle name="Comma 9" xfId="312" xr:uid="{00000000-0005-0000-0000-000038010000}"/>
    <cellStyle name="Company" xfId="313" xr:uid="{00000000-0005-0000-0000-000039010000}"/>
    <cellStyle name="COMPS" xfId="314" xr:uid="{00000000-0005-0000-0000-00003A010000}"/>
    <cellStyle name="CurRatio" xfId="315" xr:uid="{00000000-0005-0000-0000-00003B010000}"/>
    <cellStyle name="Currency [00]" xfId="316" xr:uid="{00000000-0005-0000-0000-00003D010000}"/>
    <cellStyle name="DATA_ENT" xfId="317" xr:uid="{00000000-0005-0000-0000-00003E010000}"/>
    <cellStyle name="Date" xfId="318" xr:uid="{00000000-0005-0000-0000-00003F010000}"/>
    <cellStyle name="Date Short" xfId="319" xr:uid="{00000000-0005-0000-0000-000040010000}"/>
    <cellStyle name="Date_HKNet NA100_SW y1-31" xfId="320" xr:uid="{00000000-0005-0000-0000-000041010000}"/>
    <cellStyle name="Dezimal [0]_Formular (2)" xfId="321" xr:uid="{00000000-0005-0000-0000-000042010000}"/>
    <cellStyle name="Dezimal_Formular (2)" xfId="322" xr:uid="{00000000-0005-0000-0000-000043010000}"/>
    <cellStyle name="discount" xfId="323" xr:uid="{00000000-0005-0000-0000-000044010000}"/>
    <cellStyle name="DOWNFOOT" xfId="324" xr:uid="{00000000-0005-0000-0000-000045010000}"/>
    <cellStyle name="e xerox" xfId="325" xr:uid="{00000000-0005-0000-0000-000046010000}"/>
    <cellStyle name="Enter Currency (0)" xfId="326" xr:uid="{00000000-0005-0000-0000-000047010000}"/>
    <cellStyle name="Enter Currency (2)" xfId="327" xr:uid="{00000000-0005-0000-0000-000048010000}"/>
    <cellStyle name="Enter Units (0)" xfId="328" xr:uid="{00000000-0005-0000-0000-000049010000}"/>
    <cellStyle name="Enter Units (1)" xfId="329" xr:uid="{00000000-0005-0000-0000-00004A010000}"/>
    <cellStyle name="Enter Units (2)" xfId="330" xr:uid="{00000000-0005-0000-0000-00004B010000}"/>
    <cellStyle name="Euro" xfId="331" xr:uid="{00000000-0005-0000-0000-00004C010000}"/>
    <cellStyle name="Excel Built-in Normal" xfId="332" xr:uid="{00000000-0005-0000-0000-00004D010000}"/>
    <cellStyle name="Excel Built-in Normal 2" xfId="333" xr:uid="{00000000-0005-0000-0000-00004E010000}"/>
    <cellStyle name="Excel Built-in Normal 3" xfId="334" xr:uid="{00000000-0005-0000-0000-00004F010000}"/>
    <cellStyle name="Excel Built-in Normal_Hub wise budget working for 2010-11" xfId="335" xr:uid="{00000000-0005-0000-0000-000050010000}"/>
    <cellStyle name="Excel Built-in Percent" xfId="336" xr:uid="{00000000-0005-0000-0000-000051010000}"/>
    <cellStyle name="Excel_BuiltIn_Percent 1" xfId="337" xr:uid="{00000000-0005-0000-0000-000052010000}"/>
    <cellStyle name="Explanatory Text 1" xfId="338" xr:uid="{00000000-0005-0000-0000-000053010000}"/>
    <cellStyle name="Explanatory Text 2" xfId="339" xr:uid="{00000000-0005-0000-0000-000054010000}"/>
    <cellStyle name="Explanatory Text 2 2" xfId="340" xr:uid="{00000000-0005-0000-0000-000055010000}"/>
    <cellStyle name="Explanatory Text 2 3" xfId="341" xr:uid="{00000000-0005-0000-0000-000056010000}"/>
    <cellStyle name="Explanatory Text 2 4" xfId="342" xr:uid="{00000000-0005-0000-0000-000057010000}"/>
    <cellStyle name="Explanatory Text 2 5" xfId="343" xr:uid="{00000000-0005-0000-0000-000058010000}"/>
    <cellStyle name="Explanatory Text 3" xfId="344" xr:uid="{00000000-0005-0000-0000-000059010000}"/>
    <cellStyle name="Explanatory Text 4" xfId="345" xr:uid="{00000000-0005-0000-0000-00005A010000}"/>
    <cellStyle name="Explanatory Text 5" xfId="346" xr:uid="{00000000-0005-0000-0000-00005B010000}"/>
    <cellStyle name="Fixed" xfId="347" xr:uid="{00000000-0005-0000-0000-00005C010000}"/>
    <cellStyle name="Good" xfId="348" builtinId="26"/>
    <cellStyle name="Good 1" xfId="349" xr:uid="{00000000-0005-0000-0000-00005E010000}"/>
    <cellStyle name="Good 2" xfId="350" xr:uid="{00000000-0005-0000-0000-00005F010000}"/>
    <cellStyle name="Good 2 2" xfId="351" xr:uid="{00000000-0005-0000-0000-000060010000}"/>
    <cellStyle name="Good 2 3" xfId="352" xr:uid="{00000000-0005-0000-0000-000061010000}"/>
    <cellStyle name="Good 2 4" xfId="353" xr:uid="{00000000-0005-0000-0000-000062010000}"/>
    <cellStyle name="Good 2 5" xfId="354" xr:uid="{00000000-0005-0000-0000-000063010000}"/>
    <cellStyle name="Good 2_B &amp; A group-Sep-09" xfId="355" xr:uid="{00000000-0005-0000-0000-000064010000}"/>
    <cellStyle name="Good 3" xfId="356" xr:uid="{00000000-0005-0000-0000-000065010000}"/>
    <cellStyle name="Good 4" xfId="357" xr:uid="{00000000-0005-0000-0000-000066010000}"/>
    <cellStyle name="Good 5" xfId="358" xr:uid="{00000000-0005-0000-0000-000067010000}"/>
    <cellStyle name="Grey" xfId="359" xr:uid="{00000000-0005-0000-0000-000068010000}"/>
    <cellStyle name="HEADER" xfId="360" xr:uid="{00000000-0005-0000-0000-000069010000}"/>
    <cellStyle name="Header - Style1" xfId="361" xr:uid="{00000000-0005-0000-0000-00006A010000}"/>
    <cellStyle name="HEADER_Access (6 circle) KPI Consolidation version 8" xfId="362" xr:uid="{00000000-0005-0000-0000-00006B010000}"/>
    <cellStyle name="Header1" xfId="363" xr:uid="{00000000-0005-0000-0000-00006C010000}"/>
    <cellStyle name="Header2" xfId="364" xr:uid="{00000000-0005-0000-0000-00006D010000}"/>
    <cellStyle name="Heading 1 1" xfId="365" xr:uid="{00000000-0005-0000-0000-00006E010000}"/>
    <cellStyle name="Heading 1 2" xfId="366" xr:uid="{00000000-0005-0000-0000-00006F010000}"/>
    <cellStyle name="Heading 1 2 2" xfId="367" xr:uid="{00000000-0005-0000-0000-000070010000}"/>
    <cellStyle name="Heading 1 2 3" xfId="368" xr:uid="{00000000-0005-0000-0000-000071010000}"/>
    <cellStyle name="Heading 1 2 4" xfId="369" xr:uid="{00000000-0005-0000-0000-000072010000}"/>
    <cellStyle name="Heading 1 2 5" xfId="370" xr:uid="{00000000-0005-0000-0000-000073010000}"/>
    <cellStyle name="Heading 1 2_Battery ,Adaptor gap &amp; repeat for MFR-101109 from RJ -Last updated on 110110" xfId="371" xr:uid="{00000000-0005-0000-0000-000074010000}"/>
    <cellStyle name="Heading 1 3" xfId="372" xr:uid="{00000000-0005-0000-0000-000075010000}"/>
    <cellStyle name="Heading 1 4" xfId="373" xr:uid="{00000000-0005-0000-0000-000076010000}"/>
    <cellStyle name="Heading 1 5" xfId="374" xr:uid="{00000000-0005-0000-0000-000077010000}"/>
    <cellStyle name="Heading 2 1" xfId="375" xr:uid="{00000000-0005-0000-0000-000078010000}"/>
    <cellStyle name="Heading 2 2" xfId="376" xr:uid="{00000000-0005-0000-0000-000079010000}"/>
    <cellStyle name="Heading 2 2 2" xfId="377" xr:uid="{00000000-0005-0000-0000-00007A010000}"/>
    <cellStyle name="Heading 2 2 3" xfId="378" xr:uid="{00000000-0005-0000-0000-00007B010000}"/>
    <cellStyle name="Heading 2 2 4" xfId="379" xr:uid="{00000000-0005-0000-0000-00007C010000}"/>
    <cellStyle name="Heading 2 2 5" xfId="380" xr:uid="{00000000-0005-0000-0000-00007D010000}"/>
    <cellStyle name="Heading 2 2_Battery ,Adaptor gap &amp; repeat for MFR-101109 from RJ -Last updated on 110110" xfId="381" xr:uid="{00000000-0005-0000-0000-00007E010000}"/>
    <cellStyle name="Heading 2 3" xfId="382" xr:uid="{00000000-0005-0000-0000-00007F010000}"/>
    <cellStyle name="Heading 2 4" xfId="383" xr:uid="{00000000-0005-0000-0000-000080010000}"/>
    <cellStyle name="Heading 2 5" xfId="384" xr:uid="{00000000-0005-0000-0000-000081010000}"/>
    <cellStyle name="Heading 3 1" xfId="385" xr:uid="{00000000-0005-0000-0000-000082010000}"/>
    <cellStyle name="Heading 3 2" xfId="386" xr:uid="{00000000-0005-0000-0000-000083010000}"/>
    <cellStyle name="Heading 3 2 2" xfId="387" xr:uid="{00000000-0005-0000-0000-000084010000}"/>
    <cellStyle name="Heading 3 2 3" xfId="388" xr:uid="{00000000-0005-0000-0000-000085010000}"/>
    <cellStyle name="Heading 3 2 4" xfId="389" xr:uid="{00000000-0005-0000-0000-000086010000}"/>
    <cellStyle name="Heading 3 2 5" xfId="390" xr:uid="{00000000-0005-0000-0000-000087010000}"/>
    <cellStyle name="Heading 3 2_Battery ,Adaptor gap &amp; repeat for MFR-101109 from RJ -Last updated on 110110" xfId="391" xr:uid="{00000000-0005-0000-0000-000088010000}"/>
    <cellStyle name="Heading 3 3" xfId="392" xr:uid="{00000000-0005-0000-0000-000089010000}"/>
    <cellStyle name="Heading 3 4" xfId="393" xr:uid="{00000000-0005-0000-0000-00008A010000}"/>
    <cellStyle name="Heading 3 5" xfId="394" xr:uid="{00000000-0005-0000-0000-00008B010000}"/>
    <cellStyle name="Heading 4 1" xfId="395" xr:uid="{00000000-0005-0000-0000-00008C010000}"/>
    <cellStyle name="Heading 4 2" xfId="396" xr:uid="{00000000-0005-0000-0000-00008D010000}"/>
    <cellStyle name="Heading 4 2 2" xfId="397" xr:uid="{00000000-0005-0000-0000-00008E010000}"/>
    <cellStyle name="Heading 4 2 3" xfId="398" xr:uid="{00000000-0005-0000-0000-00008F010000}"/>
    <cellStyle name="Heading 4 2 4" xfId="399" xr:uid="{00000000-0005-0000-0000-000090010000}"/>
    <cellStyle name="Heading 4 2 5" xfId="400" xr:uid="{00000000-0005-0000-0000-000091010000}"/>
    <cellStyle name="Heading 4 3" xfId="401" xr:uid="{00000000-0005-0000-0000-000092010000}"/>
    <cellStyle name="Heading 4 4" xfId="402" xr:uid="{00000000-0005-0000-0000-000093010000}"/>
    <cellStyle name="Heading 4 5" xfId="403" xr:uid="{00000000-0005-0000-0000-000094010000}"/>
    <cellStyle name="Heading1" xfId="404" xr:uid="{00000000-0005-0000-0000-000095010000}"/>
    <cellStyle name="Heading2" xfId="405" xr:uid="{00000000-0005-0000-0000-000096010000}"/>
    <cellStyle name="helv" xfId="406" xr:uid="{00000000-0005-0000-0000-000097010000}"/>
    <cellStyle name="Input [yellow]" xfId="407" xr:uid="{00000000-0005-0000-0000-000099010000}"/>
    <cellStyle name="Input 1" xfId="408" xr:uid="{00000000-0005-0000-0000-00009A010000}"/>
    <cellStyle name="Input 2" xfId="409" xr:uid="{00000000-0005-0000-0000-00009B010000}"/>
    <cellStyle name="Input 2 2" xfId="410" xr:uid="{00000000-0005-0000-0000-00009C010000}"/>
    <cellStyle name="Input 2 3" xfId="411" xr:uid="{00000000-0005-0000-0000-00009D010000}"/>
    <cellStyle name="Input 2 4" xfId="412" xr:uid="{00000000-0005-0000-0000-00009E010000}"/>
    <cellStyle name="Input 2 5" xfId="413" xr:uid="{00000000-0005-0000-0000-00009F010000}"/>
    <cellStyle name="Input 2_B &amp; A group-Sep-09" xfId="414" xr:uid="{00000000-0005-0000-0000-0000A0010000}"/>
    <cellStyle name="Input 3" xfId="415" xr:uid="{00000000-0005-0000-0000-0000A1010000}"/>
    <cellStyle name="Input 4" xfId="416" xr:uid="{00000000-0005-0000-0000-0000A2010000}"/>
    <cellStyle name="Input 5" xfId="417" xr:uid="{00000000-0005-0000-0000-0000A3010000}"/>
    <cellStyle name="Integer" xfId="418" xr:uid="{00000000-0005-0000-0000-0000A4010000}"/>
    <cellStyle name="Item" xfId="419" xr:uid="{00000000-0005-0000-0000-0000A5010000}"/>
    <cellStyle name="ItemTypeClass" xfId="420" xr:uid="{00000000-0005-0000-0000-0000A6010000}"/>
    <cellStyle name="Komma [0]_RESULTS" xfId="421" xr:uid="{00000000-0005-0000-0000-0000A7010000}"/>
    <cellStyle name="Komma_RESULTS" xfId="422" xr:uid="{00000000-0005-0000-0000-0000A8010000}"/>
    <cellStyle name="Link Currency (0)" xfId="423" xr:uid="{00000000-0005-0000-0000-0000A9010000}"/>
    <cellStyle name="Link Currency (2)" xfId="424" xr:uid="{00000000-0005-0000-0000-0000AA010000}"/>
    <cellStyle name="Link Units (0)" xfId="425" xr:uid="{00000000-0005-0000-0000-0000AB010000}"/>
    <cellStyle name="Link Units (1)" xfId="426" xr:uid="{00000000-0005-0000-0000-0000AC010000}"/>
    <cellStyle name="Link Units (2)" xfId="427" xr:uid="{00000000-0005-0000-0000-0000AD010000}"/>
    <cellStyle name="Linked Cell 1" xfId="428" xr:uid="{00000000-0005-0000-0000-0000AE010000}"/>
    <cellStyle name="Linked Cell 2" xfId="429" xr:uid="{00000000-0005-0000-0000-0000AF010000}"/>
    <cellStyle name="Linked Cell 2 2" xfId="430" xr:uid="{00000000-0005-0000-0000-0000B0010000}"/>
    <cellStyle name="Linked Cell 2 3" xfId="431" xr:uid="{00000000-0005-0000-0000-0000B1010000}"/>
    <cellStyle name="Linked Cell 2 4" xfId="432" xr:uid="{00000000-0005-0000-0000-0000B2010000}"/>
    <cellStyle name="Linked Cell 2 5" xfId="433" xr:uid="{00000000-0005-0000-0000-0000B3010000}"/>
    <cellStyle name="Linked Cell 2_Battery ,Adaptor gap &amp; repeat for MFR-101109 from RJ -Last updated on 110110" xfId="434" xr:uid="{00000000-0005-0000-0000-0000B4010000}"/>
    <cellStyle name="Linked Cell 3" xfId="435" xr:uid="{00000000-0005-0000-0000-0000B5010000}"/>
    <cellStyle name="Linked Cell 4" xfId="436" xr:uid="{00000000-0005-0000-0000-0000B6010000}"/>
    <cellStyle name="Linked Cell 5" xfId="437" xr:uid="{00000000-0005-0000-0000-0000B7010000}"/>
    <cellStyle name="Milliers [0]_laroux" xfId="438" xr:uid="{00000000-0005-0000-0000-0000B8010000}"/>
    <cellStyle name="Milliers_laroux" xfId="439" xr:uid="{00000000-0005-0000-0000-0000B9010000}"/>
    <cellStyle name="Monétaire [0]_laroux" xfId="440" xr:uid="{00000000-0005-0000-0000-0000BA010000}"/>
    <cellStyle name="Monétaire_laroux" xfId="441" xr:uid="{00000000-0005-0000-0000-0000BB010000}"/>
    <cellStyle name="Neutral 1" xfId="442" xr:uid="{00000000-0005-0000-0000-0000BD010000}"/>
    <cellStyle name="Neutral 2" xfId="443" xr:uid="{00000000-0005-0000-0000-0000BE010000}"/>
    <cellStyle name="Neutral 2 2" xfId="444" xr:uid="{00000000-0005-0000-0000-0000BF010000}"/>
    <cellStyle name="Neutral 2 3" xfId="445" xr:uid="{00000000-0005-0000-0000-0000C0010000}"/>
    <cellStyle name="Neutral 2 4" xfId="446" xr:uid="{00000000-0005-0000-0000-0000C1010000}"/>
    <cellStyle name="Neutral 2 5" xfId="447" xr:uid="{00000000-0005-0000-0000-0000C2010000}"/>
    <cellStyle name="Neutral 2_B &amp; A group-Sep-09" xfId="448" xr:uid="{00000000-0005-0000-0000-0000C3010000}"/>
    <cellStyle name="Neutral 3" xfId="449" xr:uid="{00000000-0005-0000-0000-0000C4010000}"/>
    <cellStyle name="Neutral 4" xfId="450" xr:uid="{00000000-0005-0000-0000-0000C5010000}"/>
    <cellStyle name="Neutral 5" xfId="451" xr:uid="{00000000-0005-0000-0000-0000C6010000}"/>
    <cellStyle name="no dec" xfId="452" xr:uid="{00000000-0005-0000-0000-0000C7010000}"/>
    <cellStyle name="Nor}al" xfId="453" xr:uid="{00000000-0005-0000-0000-0000C8010000}"/>
    <cellStyle name="Normal" xfId="0" builtinId="0"/>
    <cellStyle name="Normal - Style1" xfId="454" xr:uid="{00000000-0005-0000-0000-0000CA010000}"/>
    <cellStyle name="Normal 10" xfId="455" xr:uid="{00000000-0005-0000-0000-0000CB010000}"/>
    <cellStyle name="Normal 11" xfId="456" xr:uid="{00000000-0005-0000-0000-0000CC010000}"/>
    <cellStyle name="Normal 2" xfId="457" xr:uid="{00000000-0005-0000-0000-0000CD010000}"/>
    <cellStyle name="Normal 2 2" xfId="458" xr:uid="{00000000-0005-0000-0000-0000CE010000}"/>
    <cellStyle name="Normal 2 2 2" xfId="459" xr:uid="{00000000-0005-0000-0000-0000CF010000}"/>
    <cellStyle name="Normal 2 2 2 2" xfId="460" xr:uid="{00000000-0005-0000-0000-0000D0010000}"/>
    <cellStyle name="Normal 2 2 2 2 2" xfId="461" xr:uid="{00000000-0005-0000-0000-0000D1010000}"/>
    <cellStyle name="Normal 2 2 2 2 3" xfId="462" xr:uid="{00000000-0005-0000-0000-0000D2010000}"/>
    <cellStyle name="Normal 2 2 2 2 4" xfId="463" xr:uid="{00000000-0005-0000-0000-0000D3010000}"/>
    <cellStyle name="Normal 2 2 2 2 5" xfId="464" xr:uid="{00000000-0005-0000-0000-0000D4010000}"/>
    <cellStyle name="Normal 2 2 2 2_B &amp; A group-Sep-09" xfId="465" xr:uid="{00000000-0005-0000-0000-0000D5010000}"/>
    <cellStyle name="Normal 2 2 2 3" xfId="466" xr:uid="{00000000-0005-0000-0000-0000D6010000}"/>
    <cellStyle name="Normal 2 2 2 4" xfId="467" xr:uid="{00000000-0005-0000-0000-0000D7010000}"/>
    <cellStyle name="Normal 2 2 2 5" xfId="468" xr:uid="{00000000-0005-0000-0000-0000D8010000}"/>
    <cellStyle name="Normal 2 2 3" xfId="469" xr:uid="{00000000-0005-0000-0000-0000D9010000}"/>
    <cellStyle name="Normal 2 2 4" xfId="470" xr:uid="{00000000-0005-0000-0000-0000DA010000}"/>
    <cellStyle name="Normal 2 2 5" xfId="471" xr:uid="{00000000-0005-0000-0000-0000DB010000}"/>
    <cellStyle name="Normal 2 2_Accessory consum-Till July-09" xfId="472" xr:uid="{00000000-0005-0000-0000-0000DC010000}"/>
    <cellStyle name="Normal 2 3" xfId="473" xr:uid="{00000000-0005-0000-0000-0000DD010000}"/>
    <cellStyle name="Normal 2 4" xfId="474" xr:uid="{00000000-0005-0000-0000-0000DE010000}"/>
    <cellStyle name="Normal 2 5" xfId="475" xr:uid="{00000000-0005-0000-0000-0000DF010000}"/>
    <cellStyle name="Normal 2 6" xfId="476" xr:uid="{00000000-0005-0000-0000-0000E0010000}"/>
    <cellStyle name="Normal 2_Accessory consum-Till July-09" xfId="477" xr:uid="{00000000-0005-0000-0000-0000E1010000}"/>
    <cellStyle name="Normal 3" xfId="478" xr:uid="{00000000-0005-0000-0000-0000E2010000}"/>
    <cellStyle name="Normal 4" xfId="479" xr:uid="{00000000-0005-0000-0000-0000E3010000}"/>
    <cellStyle name="Normal 5" xfId="480" xr:uid="{00000000-0005-0000-0000-0000E4010000}"/>
    <cellStyle name="Normal 6" xfId="481" xr:uid="{00000000-0005-0000-0000-0000E5010000}"/>
    <cellStyle name="Normal 7" xfId="482" xr:uid="{00000000-0005-0000-0000-0000E6010000}"/>
    <cellStyle name="Normal 8" xfId="483" xr:uid="{00000000-0005-0000-0000-0000E7010000}"/>
    <cellStyle name="Normal 9" xfId="484" xr:uid="{00000000-0005-0000-0000-0000E8010000}"/>
    <cellStyle name="Normal_FMC Analysis" xfId="485" xr:uid="{00000000-0005-0000-0000-0000E9010000}"/>
    <cellStyle name="Note 1" xfId="486" xr:uid="{00000000-0005-0000-0000-0000EB010000}"/>
    <cellStyle name="Note 2" xfId="487" xr:uid="{00000000-0005-0000-0000-0000EC010000}"/>
    <cellStyle name="Note 2 2" xfId="488" xr:uid="{00000000-0005-0000-0000-0000ED010000}"/>
    <cellStyle name="Note 2 3" xfId="489" xr:uid="{00000000-0005-0000-0000-0000EE010000}"/>
    <cellStyle name="Note 2 4" xfId="490" xr:uid="{00000000-0005-0000-0000-0000EF010000}"/>
    <cellStyle name="Note 2 5" xfId="491" xr:uid="{00000000-0005-0000-0000-0000F0010000}"/>
    <cellStyle name="Note 2_B &amp; A group-Sep-09" xfId="492" xr:uid="{00000000-0005-0000-0000-0000F1010000}"/>
    <cellStyle name="Note 3" xfId="493" xr:uid="{00000000-0005-0000-0000-0000F2010000}"/>
    <cellStyle name="Note 4" xfId="494" xr:uid="{00000000-0005-0000-0000-0000F3010000}"/>
    <cellStyle name="Note 5" xfId="495" xr:uid="{00000000-0005-0000-0000-0000F4010000}"/>
    <cellStyle name="Obsolete" xfId="496" xr:uid="{00000000-0005-0000-0000-0000F5010000}"/>
    <cellStyle name="Œ…‹æØ‚è [0.00]_laroux" xfId="497" xr:uid="{00000000-0005-0000-0000-0000F6010000}"/>
    <cellStyle name="Œ…‹æØ‚è_laroux" xfId="498" xr:uid="{00000000-0005-0000-0000-0000F7010000}"/>
    <cellStyle name="Output 1" xfId="499" xr:uid="{00000000-0005-0000-0000-0000F8010000}"/>
    <cellStyle name="Output 2" xfId="500" xr:uid="{00000000-0005-0000-0000-0000F9010000}"/>
    <cellStyle name="Output 2 2" xfId="501" xr:uid="{00000000-0005-0000-0000-0000FA010000}"/>
    <cellStyle name="Output 2 3" xfId="502" xr:uid="{00000000-0005-0000-0000-0000FB010000}"/>
    <cellStyle name="Output 2 4" xfId="503" xr:uid="{00000000-0005-0000-0000-0000FC010000}"/>
    <cellStyle name="Output 2 5" xfId="504" xr:uid="{00000000-0005-0000-0000-0000FD010000}"/>
    <cellStyle name="Output 2_B &amp; A group-Sep-09" xfId="505" xr:uid="{00000000-0005-0000-0000-0000FE010000}"/>
    <cellStyle name="Output 3" xfId="506" xr:uid="{00000000-0005-0000-0000-0000FF010000}"/>
    <cellStyle name="Output 4" xfId="507" xr:uid="{00000000-0005-0000-0000-000000020000}"/>
    <cellStyle name="Output 5" xfId="508" xr:uid="{00000000-0005-0000-0000-000001020000}"/>
    <cellStyle name="Output Amounts" xfId="509" xr:uid="{00000000-0005-0000-0000-000002020000}"/>
    <cellStyle name="Output Column Headings" xfId="510" xr:uid="{00000000-0005-0000-0000-000003020000}"/>
    <cellStyle name="Output Line Items" xfId="511" xr:uid="{00000000-0005-0000-0000-000004020000}"/>
    <cellStyle name="Output Report Heading" xfId="512" xr:uid="{00000000-0005-0000-0000-000005020000}"/>
    <cellStyle name="Output Report Title" xfId="513" xr:uid="{00000000-0005-0000-0000-000006020000}"/>
    <cellStyle name="Per cent" xfId="514" builtinId="5"/>
    <cellStyle name="Percent (0)" xfId="515" xr:uid="{00000000-0005-0000-0000-000008020000}"/>
    <cellStyle name="Percent [0]" xfId="516" xr:uid="{00000000-0005-0000-0000-000009020000}"/>
    <cellStyle name="Percent [00]" xfId="517" xr:uid="{00000000-0005-0000-0000-00000A020000}"/>
    <cellStyle name="Percent [2]" xfId="518" xr:uid="{00000000-0005-0000-0000-00000B020000}"/>
    <cellStyle name="Percent 2" xfId="519" xr:uid="{00000000-0005-0000-0000-00000C020000}"/>
    <cellStyle name="Percent 2 2" xfId="520" xr:uid="{00000000-0005-0000-0000-00000D020000}"/>
    <cellStyle name="Percent 2 3" xfId="521" xr:uid="{00000000-0005-0000-0000-00000E020000}"/>
    <cellStyle name="Percent 2_B &amp; A group-Sep-09" xfId="522" xr:uid="{00000000-0005-0000-0000-00000F020000}"/>
    <cellStyle name="Percent 3" xfId="523" xr:uid="{00000000-0005-0000-0000-000010020000}"/>
    <cellStyle name="Percent 4" xfId="524" xr:uid="{00000000-0005-0000-0000-000011020000}"/>
    <cellStyle name="Percent 5" xfId="525" xr:uid="{00000000-0005-0000-0000-000012020000}"/>
    <cellStyle name="Percent 6" xfId="526" xr:uid="{00000000-0005-0000-0000-000013020000}"/>
    <cellStyle name="Percent 7" xfId="527" xr:uid="{00000000-0005-0000-0000-000014020000}"/>
    <cellStyle name="PercentChange" xfId="528" xr:uid="{00000000-0005-0000-0000-000015020000}"/>
    <cellStyle name="PrePop Currency (0)" xfId="529" xr:uid="{00000000-0005-0000-0000-000016020000}"/>
    <cellStyle name="PrePop Currency (2)" xfId="530" xr:uid="{00000000-0005-0000-0000-000017020000}"/>
    <cellStyle name="PrePop Units (0)" xfId="531" xr:uid="{00000000-0005-0000-0000-000018020000}"/>
    <cellStyle name="PrePop Units (1)" xfId="532" xr:uid="{00000000-0005-0000-0000-000019020000}"/>
    <cellStyle name="PrePop Units (2)" xfId="533" xr:uid="{00000000-0005-0000-0000-00001A020000}"/>
    <cellStyle name="PropGenCurrencyFormat" xfId="534" xr:uid="{00000000-0005-0000-0000-00001B020000}"/>
    <cellStyle name="PSChar" xfId="535" xr:uid="{00000000-0005-0000-0000-00001C020000}"/>
    <cellStyle name="PSDate" xfId="536" xr:uid="{00000000-0005-0000-0000-00001D020000}"/>
    <cellStyle name="PSDec" xfId="537" xr:uid="{00000000-0005-0000-0000-00001E020000}"/>
    <cellStyle name="PSHeading" xfId="538" xr:uid="{00000000-0005-0000-0000-00001F020000}"/>
    <cellStyle name="PSInt" xfId="539" xr:uid="{00000000-0005-0000-0000-000020020000}"/>
    <cellStyle name="PSSpacer" xfId="540" xr:uid="{00000000-0005-0000-0000-000021020000}"/>
    <cellStyle name="RatioX" xfId="541" xr:uid="{00000000-0005-0000-0000-000022020000}"/>
    <cellStyle name="ScripFactor" xfId="542" xr:uid="{00000000-0005-0000-0000-000023020000}"/>
    <cellStyle name="Standard_MENÜ.XLM" xfId="543" xr:uid="{00000000-0005-0000-0000-000024020000}"/>
    <cellStyle name="Style 1" xfId="544" xr:uid="{00000000-0005-0000-0000-000025020000}"/>
    <cellStyle name="Style 1 2" xfId="545" xr:uid="{00000000-0005-0000-0000-000026020000}"/>
    <cellStyle name="Style 1 3" xfId="546" xr:uid="{00000000-0005-0000-0000-000027020000}"/>
    <cellStyle name="Style 1_Accessory consum-Till July-09" xfId="547" xr:uid="{00000000-0005-0000-0000-000028020000}"/>
    <cellStyle name="taples Plaza" xfId="548" xr:uid="{00000000-0005-0000-0000-000029020000}"/>
    <cellStyle name="Text" xfId="549" xr:uid="{00000000-0005-0000-0000-00002A020000}"/>
    <cellStyle name="Text Indent A" xfId="550" xr:uid="{00000000-0005-0000-0000-00002B020000}"/>
    <cellStyle name="Text Indent B" xfId="551" xr:uid="{00000000-0005-0000-0000-00002C020000}"/>
    <cellStyle name="Text Indent C" xfId="552" xr:uid="{00000000-0005-0000-0000-00002D020000}"/>
    <cellStyle name="TextData" xfId="553" xr:uid="{00000000-0005-0000-0000-00002E020000}"/>
    <cellStyle name="TextDataFlag" xfId="554" xr:uid="{00000000-0005-0000-0000-00002F020000}"/>
    <cellStyle name="TextDataLong" xfId="555" xr:uid="{00000000-0005-0000-0000-000030020000}"/>
    <cellStyle name="Title 1" xfId="556" xr:uid="{00000000-0005-0000-0000-000031020000}"/>
    <cellStyle name="Title 2" xfId="557" xr:uid="{00000000-0005-0000-0000-000032020000}"/>
    <cellStyle name="Title 2 2" xfId="558" xr:uid="{00000000-0005-0000-0000-000033020000}"/>
    <cellStyle name="Title 2 3" xfId="559" xr:uid="{00000000-0005-0000-0000-000034020000}"/>
    <cellStyle name="Title 2 4" xfId="560" xr:uid="{00000000-0005-0000-0000-000035020000}"/>
    <cellStyle name="Title 2 5" xfId="561" xr:uid="{00000000-0005-0000-0000-000036020000}"/>
    <cellStyle name="Title 3" xfId="562" xr:uid="{00000000-0005-0000-0000-000037020000}"/>
    <cellStyle name="Title 4" xfId="563" xr:uid="{00000000-0005-0000-0000-000038020000}"/>
    <cellStyle name="Title 5" xfId="564" xr:uid="{00000000-0005-0000-0000-000039020000}"/>
    <cellStyle name="Title2" xfId="565" xr:uid="{00000000-0005-0000-0000-00003A020000}"/>
    <cellStyle name="Titles" xfId="566" xr:uid="{00000000-0005-0000-0000-00003B020000}"/>
    <cellStyle name="TitleVertical" xfId="567" xr:uid="{00000000-0005-0000-0000-00003C020000}"/>
    <cellStyle name="Total 1" xfId="568" xr:uid="{00000000-0005-0000-0000-00003D020000}"/>
    <cellStyle name="Total 2" xfId="569" xr:uid="{00000000-0005-0000-0000-00003E020000}"/>
    <cellStyle name="Total 2 2" xfId="570" xr:uid="{00000000-0005-0000-0000-00003F020000}"/>
    <cellStyle name="Total 2 3" xfId="571" xr:uid="{00000000-0005-0000-0000-000040020000}"/>
    <cellStyle name="Total 2 4" xfId="572" xr:uid="{00000000-0005-0000-0000-000041020000}"/>
    <cellStyle name="Total 2 5" xfId="573" xr:uid="{00000000-0005-0000-0000-000042020000}"/>
    <cellStyle name="Total 3" xfId="574" xr:uid="{00000000-0005-0000-0000-000043020000}"/>
    <cellStyle name="Total 4" xfId="575" xr:uid="{00000000-0005-0000-0000-000044020000}"/>
    <cellStyle name="Total 5" xfId="576" xr:uid="{00000000-0005-0000-0000-000045020000}"/>
    <cellStyle name="Tusental (0)_pldt" xfId="577" xr:uid="{00000000-0005-0000-0000-000046020000}"/>
    <cellStyle name="Tusental_NPV" xfId="578" xr:uid="{00000000-0005-0000-0000-000047020000}"/>
    <cellStyle name="Valuta (0)_pldt" xfId="579" xr:uid="{00000000-0005-0000-0000-000048020000}"/>
    <cellStyle name="Valuta [0]_RESULTS" xfId="580" xr:uid="{00000000-0005-0000-0000-000049020000}"/>
    <cellStyle name="Valuta_NPV" xfId="581" xr:uid="{00000000-0005-0000-0000-00004A020000}"/>
    <cellStyle name="Währung [0]_MFun" xfId="582" xr:uid="{00000000-0005-0000-0000-00004B020000}"/>
    <cellStyle name="Währung_MFun" xfId="583" xr:uid="{00000000-0005-0000-0000-00004C020000}"/>
    <cellStyle name="Warning Text 1" xfId="584" xr:uid="{00000000-0005-0000-0000-00004D020000}"/>
    <cellStyle name="Warning Text 2" xfId="585" xr:uid="{00000000-0005-0000-0000-00004E020000}"/>
    <cellStyle name="Warning Text 2 2" xfId="586" xr:uid="{00000000-0005-0000-0000-00004F020000}"/>
    <cellStyle name="Warning Text 2 3" xfId="587" xr:uid="{00000000-0005-0000-0000-000050020000}"/>
    <cellStyle name="Warning Text 2 4" xfId="588" xr:uid="{00000000-0005-0000-0000-000051020000}"/>
    <cellStyle name="Warning Text 2 5" xfId="589" xr:uid="{00000000-0005-0000-0000-000052020000}"/>
    <cellStyle name="Warning Text 3" xfId="590" xr:uid="{00000000-0005-0000-0000-000053020000}"/>
    <cellStyle name="Warning Text 4" xfId="591" xr:uid="{00000000-0005-0000-0000-000054020000}"/>
    <cellStyle name="Warning Text 5" xfId="592" xr:uid="{00000000-0005-0000-0000-000055020000}"/>
    <cellStyle name="WHead - Style2" xfId="593" xr:uid="{00000000-0005-0000-0000-000056020000}"/>
    <cellStyle name="標準_NTT G.Lite Pricing Jan 25th" xfId="594" xr:uid="{00000000-0005-0000-0000-000057020000}"/>
    <cellStyle name="通貨 [0.00]_NTT G.Lite Pricing Jan 25th" xfId="595" xr:uid="{00000000-0005-0000-0000-000058020000}"/>
  </cellStyles>
  <dxfs count="2">
    <dxf>
      <font>
        <b/>
        <i val="0"/>
      </font>
      <numFmt numFmtId="1" formatCode="0"/>
      <fill>
        <patternFill>
          <bgColor rgb="FF92D050"/>
        </patternFill>
      </fill>
    </dxf>
    <dxf>
      <font>
        <b/>
        <i val="0"/>
      </font>
    </dxf>
  </dxfs>
  <tableStyles count="0" defaultTableStyle="TableStyleMedium9" defaultPivotStyle="PivotStyleLight16"/>
  <colors>
    <mruColors>
      <color rgb="FFFC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'Smort WFS'!$BA$5</c:f>
              <c:strCache>
                <c:ptCount val="1"/>
                <c:pt idx="0">
                  <c:v>Actual</c:v>
                </c:pt>
              </c:strCache>
            </c:strRef>
          </c:tx>
          <c:cat>
            <c:numRef>
              <c:f>'Smort WFS'!$B$7:$B$54</c:f>
              <c:numCache>
                <c:formatCode>h:mm;@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'Smort WFS'!$BA$7:$BA$54</c:f>
              <c:numCache>
                <c:formatCode>0</c:formatCode>
                <c:ptCount val="48"/>
                <c:pt idx="0">
                  <c:v>31.679999999999996</c:v>
                </c:pt>
                <c:pt idx="1">
                  <c:v>34.785882352941172</c:v>
                </c:pt>
                <c:pt idx="2">
                  <c:v>34.785882352941172</c:v>
                </c:pt>
                <c:pt idx="3">
                  <c:v>34.785882352941172</c:v>
                </c:pt>
                <c:pt idx="4">
                  <c:v>34.785882352941172</c:v>
                </c:pt>
                <c:pt idx="5">
                  <c:v>3.1058823529411761</c:v>
                </c:pt>
                <c:pt idx="6">
                  <c:v>3.1058823529411761</c:v>
                </c:pt>
                <c:pt idx="7">
                  <c:v>3.1058823529411761</c:v>
                </c:pt>
                <c:pt idx="8">
                  <c:v>3.1058823529411761</c:v>
                </c:pt>
                <c:pt idx="9">
                  <c:v>3.1058823529411761</c:v>
                </c:pt>
                <c:pt idx="10">
                  <c:v>3.1058823529411761</c:v>
                </c:pt>
                <c:pt idx="11">
                  <c:v>3.1058823529411761</c:v>
                </c:pt>
                <c:pt idx="12">
                  <c:v>3.1058823529411761</c:v>
                </c:pt>
                <c:pt idx="13">
                  <c:v>3.1058823529411761</c:v>
                </c:pt>
                <c:pt idx="14">
                  <c:v>3.1058823529411761</c:v>
                </c:pt>
                <c:pt idx="15">
                  <c:v>3.1058823529411761</c:v>
                </c:pt>
                <c:pt idx="16">
                  <c:v>3.1058823529411761</c:v>
                </c:pt>
                <c:pt idx="17">
                  <c:v>3.1058823529411761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31.679999999999996</c:v>
                </c:pt>
                <c:pt idx="37">
                  <c:v>31.679999999999996</c:v>
                </c:pt>
                <c:pt idx="38">
                  <c:v>31.679999999999996</c:v>
                </c:pt>
                <c:pt idx="39">
                  <c:v>31.679999999999996</c:v>
                </c:pt>
                <c:pt idx="40">
                  <c:v>31.679999999999996</c:v>
                </c:pt>
                <c:pt idx="41">
                  <c:v>31.679999999999996</c:v>
                </c:pt>
                <c:pt idx="42">
                  <c:v>31.679999999999996</c:v>
                </c:pt>
                <c:pt idx="43">
                  <c:v>31.679999999999996</c:v>
                </c:pt>
                <c:pt idx="44">
                  <c:v>31.679999999999996</c:v>
                </c:pt>
                <c:pt idx="45">
                  <c:v>31.679999999999996</c:v>
                </c:pt>
                <c:pt idx="46">
                  <c:v>31.679999999999996</c:v>
                </c:pt>
                <c:pt idx="47">
                  <c:v>31.679999999999996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BAD-8EFC-429138FD416F}"/>
            </c:ext>
          </c:extLst>
        </c:ser>
        <c:ser>
          <c:idx val="1"/>
          <c:order val="1"/>
          <c:tx>
            <c:strRef>
              <c:f>'Smort WFS'!$BB$5</c:f>
              <c:strCache>
                <c:ptCount val="1"/>
                <c:pt idx="0">
                  <c:v>Requirement</c:v>
                </c:pt>
              </c:strCache>
            </c:strRef>
          </c:tx>
          <c:cat>
            <c:numRef>
              <c:f>'Smort WFS'!$B$7:$B$54</c:f>
              <c:numCache>
                <c:formatCode>h:mm;@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'Smort WFS'!$BB$7:$BB$54</c:f>
              <c:numCache>
                <c:formatCode>General</c:formatCode>
                <c:ptCount val="48"/>
                <c:pt idx="0">
                  <c:v>17</c:v>
                </c:pt>
                <c:pt idx="1">
                  <c:v>18</c:v>
                </c:pt>
                <c:pt idx="2">
                  <c:v>16</c:v>
                </c:pt>
                <c:pt idx="3">
                  <c:v>17</c:v>
                </c:pt>
                <c:pt idx="4">
                  <c:v>19</c:v>
                </c:pt>
                <c:pt idx="5">
                  <c:v>17</c:v>
                </c:pt>
                <c:pt idx="6">
                  <c:v>11</c:v>
                </c:pt>
                <c:pt idx="7">
                  <c:v>7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24</c:v>
                </c:pt>
                <c:pt idx="37">
                  <c:v>32</c:v>
                </c:pt>
                <c:pt idx="38">
                  <c:v>32</c:v>
                </c:pt>
                <c:pt idx="39">
                  <c:v>31</c:v>
                </c:pt>
                <c:pt idx="40">
                  <c:v>23</c:v>
                </c:pt>
                <c:pt idx="41">
                  <c:v>21</c:v>
                </c:pt>
                <c:pt idx="42">
                  <c:v>8</c:v>
                </c:pt>
                <c:pt idx="43">
                  <c:v>3</c:v>
                </c:pt>
                <c:pt idx="44">
                  <c:v>4</c:v>
                </c:pt>
                <c:pt idx="45">
                  <c:v>13</c:v>
                </c:pt>
                <c:pt idx="46">
                  <c:v>19</c:v>
                </c:pt>
                <c:pt idx="47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BAD-8EFC-429138FD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FFC000"/>
              </a:solidFill>
            </c:spPr>
          </c:downBars>
        </c:upDownBars>
        <c:marker val="1"/>
        <c:smooth val="0"/>
        <c:axId val="1783736096"/>
        <c:axId val="1783736656"/>
      </c:lineChart>
      <c:catAx>
        <c:axId val="1783736096"/>
        <c:scaling>
          <c:orientation val="minMax"/>
        </c:scaling>
        <c:delete val="0"/>
        <c:axPos val="b"/>
        <c:minorGridlines/>
        <c:numFmt formatCode="h:mm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783736656"/>
        <c:crosses val="autoZero"/>
        <c:auto val="1"/>
        <c:lblAlgn val="ctr"/>
        <c:lblOffset val="100"/>
        <c:noMultiLvlLbl val="0"/>
      </c:catAx>
      <c:valAx>
        <c:axId val="1783736656"/>
        <c:scaling>
          <c:orientation val="minMax"/>
        </c:scaling>
        <c:delete val="0"/>
        <c:axPos val="l"/>
        <c:minorGridlines/>
        <c:numFmt formatCode="0" sourceLinked="1"/>
        <c:majorTickMark val="out"/>
        <c:minorTickMark val="none"/>
        <c:tickLblPos val="nextTo"/>
        <c:crossAx val="1783736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76197</xdr:colOff>
      <xdr:row>6</xdr:row>
      <xdr:rowOff>7144</xdr:rowOff>
    </xdr:from>
    <xdr:to>
      <xdr:col>42</xdr:col>
      <xdr:colOff>309560</xdr:colOff>
      <xdr:row>27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BBE67-B975-4FDC-9D7E-8D01D25F4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lash" id="{441C6E3A-FA46-4B67-9525-A255B31B2A73}" userId="S::palash.manna@concentrix.com::dc98a30e-5749-4adf-801e-4d79f06426b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1" dT="2021-04-17T18:06:49.96" personId="{441C6E3A-FA46-4B67-9525-A255B31B2A73}" id="{AC0F48E5-F279-4BB9-80DD-50F7D41B092B}">
    <text>Out Of Office</text>
  </threadedComment>
  <threadedComment ref="BB1" dT="2021-04-17T18:06:59.80" personId="{441C6E3A-FA46-4B67-9525-A255B31B2A73}" id="{B687DCD1-68E4-43E9-9F63-CBAF7643039B}">
    <text>In Office</text>
  </threadedComment>
  <threadedComment ref="BC1" dT="2021-04-17T18:07:43.39" personId="{441C6E3A-FA46-4B67-9525-A255B31B2A73}" id="{5C3526C2-A958-4F9A-89D8-EA99EDD594D9}">
    <text>Concurrency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3D8B-775C-44EB-A3AC-3833C52DDBA3}">
  <sheetPr codeName="Sheet45"/>
  <dimension ref="A1:DU55"/>
  <sheetViews>
    <sheetView showGridLines="0" tabSelected="1" topLeftCell="AN1" zoomScale="80" zoomScaleNormal="80" workbookViewId="0">
      <selection activeCell="BL6" sqref="BL6"/>
    </sheetView>
  </sheetViews>
  <sheetFormatPr defaultColWidth="9.140625" defaultRowHeight="14.25" outlineLevelRow="1"/>
  <cols>
    <col min="1" max="1" width="8" style="1" bestFit="1" customWidth="1"/>
    <col min="2" max="2" width="7.85546875" style="1" bestFit="1" customWidth="1"/>
    <col min="3" max="3" width="6.5703125" style="1" bestFit="1" customWidth="1"/>
    <col min="4" max="4" width="4.85546875" style="1" bestFit="1" customWidth="1"/>
    <col min="5" max="51" width="4.5703125" style="1" bestFit="1" customWidth="1"/>
    <col min="52" max="53" width="7.7109375" style="1" bestFit="1" customWidth="1"/>
    <col min="54" max="54" width="6.42578125" style="1" customWidth="1"/>
    <col min="55" max="55" width="7.7109375" style="1" bestFit="1" customWidth="1"/>
    <col min="56" max="57" width="7.85546875" style="1" bestFit="1" customWidth="1"/>
    <col min="58" max="58" width="7" style="1" customWidth="1"/>
    <col min="59" max="59" width="8.140625" style="1" bestFit="1" customWidth="1"/>
    <col min="60" max="60" width="6.140625" style="1" bestFit="1" customWidth="1"/>
    <col min="61" max="61" width="5.42578125" style="1" bestFit="1" customWidth="1"/>
    <col min="62" max="66" width="9.140625" style="1"/>
    <col min="67" max="67" width="12.28515625" style="1" bestFit="1" customWidth="1"/>
    <col min="68" max="69" width="4.85546875" style="1" bestFit="1" customWidth="1"/>
    <col min="70" max="70" width="4.42578125" style="1" bestFit="1" customWidth="1"/>
    <col min="71" max="71" width="4.85546875" style="1" bestFit="1" customWidth="1"/>
    <col min="72" max="74" width="4.42578125" style="1" bestFit="1" customWidth="1"/>
    <col min="75" max="77" width="4.85546875" style="1" customWidth="1"/>
    <col min="78" max="78" width="4.42578125" style="1" customWidth="1"/>
    <col min="79" max="79" width="4.85546875" style="1" customWidth="1"/>
    <col min="80" max="80" width="4.42578125" style="1" customWidth="1"/>
    <col min="81" max="82" width="4.85546875" style="1" customWidth="1"/>
    <col min="83" max="83" width="4.42578125" style="1" customWidth="1"/>
    <col min="84" max="91" width="4.85546875" style="1" customWidth="1"/>
    <col min="92" max="92" width="4.42578125" style="1" customWidth="1"/>
    <col min="93" max="93" width="4.85546875" style="1" customWidth="1"/>
    <col min="94" max="94" width="4.42578125" style="1" customWidth="1"/>
    <col min="95" max="95" width="4.85546875" style="1" customWidth="1"/>
    <col min="96" max="96" width="9.140625" style="1"/>
    <col min="97" max="97" width="12.28515625" style="1" customWidth="1"/>
    <col min="98" max="98" width="4.85546875" style="1" customWidth="1"/>
    <col min="99" max="99" width="4.140625" style="1" customWidth="1"/>
    <col min="100" max="100" width="4.42578125" style="1" customWidth="1"/>
    <col min="101" max="101" width="4.140625" style="1" customWidth="1"/>
    <col min="102" max="103" width="3.85546875" style="1" customWidth="1"/>
    <col min="104" max="104" width="4.140625" style="1" customWidth="1"/>
    <col min="105" max="105" width="4.85546875" style="1" customWidth="1"/>
    <col min="106" max="106" width="4.140625" style="1" customWidth="1"/>
    <col min="107" max="107" width="4.42578125" style="1" customWidth="1"/>
    <col min="108" max="108" width="4.140625" style="1" customWidth="1"/>
    <col min="109" max="110" width="3.85546875" style="1" customWidth="1"/>
    <col min="111" max="111" width="4.140625" style="1" customWidth="1"/>
    <col min="112" max="112" width="4.85546875" style="1" customWidth="1"/>
    <col min="113" max="113" width="4.140625" style="1" customWidth="1"/>
    <col min="114" max="114" width="4.42578125" style="1" customWidth="1"/>
    <col min="115" max="115" width="4.140625" style="1" customWidth="1"/>
    <col min="116" max="117" width="3.85546875" style="1" customWidth="1"/>
    <col min="118" max="118" width="4.140625" style="1" customWidth="1"/>
    <col min="119" max="119" width="4.85546875" style="1" customWidth="1"/>
    <col min="120" max="120" width="4.140625" style="1" customWidth="1"/>
    <col min="121" max="121" width="4.42578125" style="1" customWidth="1"/>
    <col min="122" max="122" width="4.140625" style="1" customWidth="1"/>
    <col min="123" max="124" width="3.85546875" style="1" customWidth="1"/>
    <col min="125" max="125" width="4.140625" style="1" customWidth="1"/>
    <col min="126" max="16384" width="9.140625" style="1"/>
  </cols>
  <sheetData>
    <row r="1" spans="1:125">
      <c r="A1" s="28">
        <v>0.8</v>
      </c>
      <c r="B1" s="29">
        <f>8*3600</f>
        <v>28800</v>
      </c>
      <c r="C1" s="55"/>
      <c r="D1" s="34"/>
      <c r="AZ1" s="35">
        <f>0.5/8.5</f>
        <v>5.8823529411764705E-2</v>
      </c>
      <c r="BA1" s="35">
        <v>0.34</v>
      </c>
      <c r="BB1" s="34">
        <v>0</v>
      </c>
      <c r="BC1" s="1">
        <v>1</v>
      </c>
    </row>
    <row r="2" spans="1:125">
      <c r="AA2" s="30"/>
      <c r="AZ2" s="1" t="s">
        <v>0</v>
      </c>
      <c r="BA2" s="1" t="s">
        <v>1</v>
      </c>
      <c r="BB2" s="1" t="s">
        <v>2</v>
      </c>
    </row>
    <row r="3" spans="1:125" ht="19.5" customHeight="1">
      <c r="D3" s="56" t="s">
        <v>3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8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3"/>
      <c r="CK3" s="53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51"/>
      <c r="DN3" s="51"/>
      <c r="DO3" s="51"/>
      <c r="DP3" s="51"/>
      <c r="DQ3" s="51"/>
      <c r="DR3" s="51"/>
      <c r="DS3" s="51"/>
      <c r="DT3" s="51"/>
      <c r="DU3" s="51"/>
    </row>
    <row r="4" spans="1:125" ht="51.75" customHeight="1">
      <c r="A4" s="23"/>
      <c r="B4" s="25" t="s">
        <v>4</v>
      </c>
      <c r="C4" s="26"/>
      <c r="D4" s="24">
        <v>2.0833333333333332E-2</v>
      </c>
      <c r="E4" s="7">
        <f>D4+"0:30"</f>
        <v>4.1666666666666664E-2</v>
      </c>
      <c r="F4" s="7">
        <f t="shared" ref="F4:AY4" si="0">E4+"0:30"</f>
        <v>6.25E-2</v>
      </c>
      <c r="G4" s="7">
        <f t="shared" si="0"/>
        <v>8.3333333333333329E-2</v>
      </c>
      <c r="H4" s="7">
        <f t="shared" si="0"/>
        <v>0.10416666666666666</v>
      </c>
      <c r="I4" s="7">
        <f t="shared" si="0"/>
        <v>0.12499999999999999</v>
      </c>
      <c r="J4" s="7">
        <f t="shared" si="0"/>
        <v>0.14583333333333331</v>
      </c>
      <c r="K4" s="7">
        <f t="shared" si="0"/>
        <v>0.16666666666666666</v>
      </c>
      <c r="L4" s="7">
        <f t="shared" si="0"/>
        <v>0.1875</v>
      </c>
      <c r="M4" s="7">
        <f t="shared" si="0"/>
        <v>0.20833333333333334</v>
      </c>
      <c r="N4" s="7">
        <f t="shared" si="0"/>
        <v>0.22916666666666669</v>
      </c>
      <c r="O4" s="7">
        <f t="shared" si="0"/>
        <v>0.25</v>
      </c>
      <c r="P4" s="7">
        <f t="shared" si="0"/>
        <v>0.27083333333333331</v>
      </c>
      <c r="Q4" s="7">
        <f t="shared" si="0"/>
        <v>0.29166666666666663</v>
      </c>
      <c r="R4" s="7">
        <f t="shared" si="0"/>
        <v>0.31249999999999994</v>
      </c>
      <c r="S4" s="7">
        <f t="shared" si="0"/>
        <v>0.33333333333333326</v>
      </c>
      <c r="T4" s="7">
        <f t="shared" si="0"/>
        <v>0.35416666666666657</v>
      </c>
      <c r="U4" s="7">
        <f t="shared" si="0"/>
        <v>0.37499999999999989</v>
      </c>
      <c r="V4" s="7">
        <f t="shared" si="0"/>
        <v>0.3958333333333332</v>
      </c>
      <c r="W4" s="7">
        <f t="shared" si="0"/>
        <v>0.41666666666666652</v>
      </c>
      <c r="X4" s="7">
        <f t="shared" si="0"/>
        <v>0.43749999999999983</v>
      </c>
      <c r="Y4" s="7">
        <f t="shared" si="0"/>
        <v>0.45833333333333315</v>
      </c>
      <c r="Z4" s="7">
        <f t="shared" si="0"/>
        <v>0.47916666666666646</v>
      </c>
      <c r="AA4" s="7">
        <f t="shared" si="0"/>
        <v>0.49999999999999978</v>
      </c>
      <c r="AB4" s="7">
        <f t="shared" si="0"/>
        <v>0.52083333333333315</v>
      </c>
      <c r="AC4" s="7">
        <f t="shared" si="0"/>
        <v>0.54166666666666652</v>
      </c>
      <c r="AD4" s="7">
        <f t="shared" si="0"/>
        <v>0.56249999999999989</v>
      </c>
      <c r="AE4" s="7">
        <f t="shared" si="0"/>
        <v>0.58333333333333326</v>
      </c>
      <c r="AF4" s="7">
        <f t="shared" si="0"/>
        <v>0.60416666666666663</v>
      </c>
      <c r="AG4" s="7">
        <f t="shared" si="0"/>
        <v>0.625</v>
      </c>
      <c r="AH4" s="7">
        <f t="shared" si="0"/>
        <v>0.64583333333333337</v>
      </c>
      <c r="AI4" s="7">
        <f t="shared" si="0"/>
        <v>0.66666666666666674</v>
      </c>
      <c r="AJ4" s="7">
        <f t="shared" si="0"/>
        <v>0.68750000000000011</v>
      </c>
      <c r="AK4" s="7">
        <f t="shared" si="0"/>
        <v>0.70833333333333348</v>
      </c>
      <c r="AL4" s="7">
        <f t="shared" si="0"/>
        <v>0.72916666666666685</v>
      </c>
      <c r="AM4" s="7">
        <f t="shared" si="0"/>
        <v>0.75000000000000022</v>
      </c>
      <c r="AN4" s="7">
        <f t="shared" si="0"/>
        <v>0.77083333333333359</v>
      </c>
      <c r="AO4" s="7">
        <f t="shared" si="0"/>
        <v>0.79166666666666696</v>
      </c>
      <c r="AP4" s="7">
        <f t="shared" si="0"/>
        <v>0.81250000000000033</v>
      </c>
      <c r="AQ4" s="7">
        <f t="shared" si="0"/>
        <v>0.8333333333333337</v>
      </c>
      <c r="AR4" s="7">
        <f t="shared" si="0"/>
        <v>0.85416666666666707</v>
      </c>
      <c r="AS4" s="7">
        <f t="shared" si="0"/>
        <v>0.87500000000000044</v>
      </c>
      <c r="AT4" s="7">
        <f t="shared" si="0"/>
        <v>0.89583333333333381</v>
      </c>
      <c r="AU4" s="7">
        <f t="shared" si="0"/>
        <v>0.91666666666666718</v>
      </c>
      <c r="AV4" s="7">
        <f t="shared" si="0"/>
        <v>0.93750000000000056</v>
      </c>
      <c r="AW4" s="7">
        <f t="shared" si="0"/>
        <v>0.95833333333333393</v>
      </c>
      <c r="AX4" s="7">
        <f t="shared" si="0"/>
        <v>0.9791666666666673</v>
      </c>
      <c r="AY4" s="7">
        <f t="shared" si="0"/>
        <v>1.0000000000000007</v>
      </c>
      <c r="BA4" s="22"/>
      <c r="BB4" s="9"/>
      <c r="BC4" s="9"/>
      <c r="BD4" s="9"/>
      <c r="BE4" s="33"/>
      <c r="BF4" s="9"/>
      <c r="BG4" s="9"/>
    </row>
    <row r="5" spans="1:125" ht="59.25" customHeight="1">
      <c r="A5" s="5"/>
      <c r="B5" s="25" t="s">
        <v>5</v>
      </c>
      <c r="C5" s="31">
        <f>MAX(D5:AY5)</f>
        <v>17</v>
      </c>
      <c r="D5" s="59">
        <f>COUNTA(D7:D54)</f>
        <v>17</v>
      </c>
      <c r="E5" s="8">
        <f t="shared" ref="E5:AY5" si="1">COUNTA(E7:E54)</f>
        <v>17</v>
      </c>
      <c r="F5" s="8">
        <f t="shared" si="1"/>
        <v>17</v>
      </c>
      <c r="G5" s="8">
        <f t="shared" si="1"/>
        <v>17</v>
      </c>
      <c r="H5" s="8">
        <f t="shared" si="1"/>
        <v>17</v>
      </c>
      <c r="I5" s="8">
        <f t="shared" si="1"/>
        <v>17</v>
      </c>
      <c r="J5" s="8">
        <f t="shared" si="1"/>
        <v>17</v>
      </c>
      <c r="K5" s="8">
        <f t="shared" si="1"/>
        <v>17</v>
      </c>
      <c r="L5" s="8">
        <f t="shared" si="1"/>
        <v>17</v>
      </c>
      <c r="M5" s="8">
        <f t="shared" si="1"/>
        <v>17</v>
      </c>
      <c r="N5" s="8">
        <f t="shared" si="1"/>
        <v>17</v>
      </c>
      <c r="O5" s="8">
        <f t="shared" si="1"/>
        <v>17</v>
      </c>
      <c r="P5" s="8">
        <f t="shared" si="1"/>
        <v>17</v>
      </c>
      <c r="Q5" s="8">
        <f t="shared" si="1"/>
        <v>17</v>
      </c>
      <c r="R5" s="8">
        <f t="shared" si="1"/>
        <v>17</v>
      </c>
      <c r="S5" s="8">
        <f t="shared" si="1"/>
        <v>17</v>
      </c>
      <c r="T5" s="8">
        <f t="shared" si="1"/>
        <v>17</v>
      </c>
      <c r="U5" s="8">
        <f t="shared" si="1"/>
        <v>17</v>
      </c>
      <c r="V5" s="8">
        <f t="shared" si="1"/>
        <v>17</v>
      </c>
      <c r="W5" s="8">
        <f t="shared" si="1"/>
        <v>17</v>
      </c>
      <c r="X5" s="8">
        <f t="shared" si="1"/>
        <v>17</v>
      </c>
      <c r="Y5" s="8">
        <f t="shared" si="1"/>
        <v>17</v>
      </c>
      <c r="Z5" s="8">
        <f t="shared" si="1"/>
        <v>17</v>
      </c>
      <c r="AA5" s="8">
        <f t="shared" si="1"/>
        <v>17</v>
      </c>
      <c r="AB5" s="8">
        <f t="shared" si="1"/>
        <v>17</v>
      </c>
      <c r="AC5" s="8">
        <f t="shared" si="1"/>
        <v>17</v>
      </c>
      <c r="AD5" s="8">
        <f t="shared" si="1"/>
        <v>17</v>
      </c>
      <c r="AE5" s="8">
        <f t="shared" si="1"/>
        <v>17</v>
      </c>
      <c r="AF5" s="8">
        <f t="shared" si="1"/>
        <v>17</v>
      </c>
      <c r="AG5" s="8">
        <f t="shared" si="1"/>
        <v>17</v>
      </c>
      <c r="AH5" s="8">
        <f t="shared" si="1"/>
        <v>17</v>
      </c>
      <c r="AI5" s="8">
        <f t="shared" si="1"/>
        <v>17</v>
      </c>
      <c r="AJ5" s="8">
        <f t="shared" si="1"/>
        <v>17</v>
      </c>
      <c r="AK5" s="8">
        <f t="shared" si="1"/>
        <v>17</v>
      </c>
      <c r="AL5" s="8">
        <f t="shared" si="1"/>
        <v>17</v>
      </c>
      <c r="AM5" s="8">
        <f t="shared" si="1"/>
        <v>17</v>
      </c>
      <c r="AN5" s="8">
        <f>COUNTA(AN7:AN54)</f>
        <v>17</v>
      </c>
      <c r="AO5" s="8">
        <f t="shared" si="1"/>
        <v>17</v>
      </c>
      <c r="AP5" s="8">
        <f t="shared" si="1"/>
        <v>17</v>
      </c>
      <c r="AQ5" s="8">
        <f t="shared" si="1"/>
        <v>17</v>
      </c>
      <c r="AR5" s="8">
        <f t="shared" si="1"/>
        <v>17</v>
      </c>
      <c r="AS5" s="8">
        <f t="shared" si="1"/>
        <v>17</v>
      </c>
      <c r="AT5" s="8">
        <f t="shared" si="1"/>
        <v>17</v>
      </c>
      <c r="AU5" s="8">
        <f t="shared" si="1"/>
        <v>17</v>
      </c>
      <c r="AV5" s="8">
        <f t="shared" si="1"/>
        <v>17</v>
      </c>
      <c r="AW5" s="8">
        <f t="shared" si="1"/>
        <v>17</v>
      </c>
      <c r="AX5" s="8">
        <f t="shared" si="1"/>
        <v>17</v>
      </c>
      <c r="AY5" s="8">
        <f t="shared" si="1"/>
        <v>17</v>
      </c>
      <c r="BA5" s="18" t="s">
        <v>6</v>
      </c>
      <c r="BB5" s="18" t="s">
        <v>7</v>
      </c>
      <c r="BC5" s="18" t="s">
        <v>8</v>
      </c>
      <c r="BD5" s="18" t="s">
        <v>9</v>
      </c>
      <c r="BE5" s="49" t="s">
        <v>10</v>
      </c>
      <c r="BF5" s="18" t="s">
        <v>11</v>
      </c>
      <c r="BG5" s="18" t="s">
        <v>12</v>
      </c>
      <c r="BH5" s="18" t="s">
        <v>13</v>
      </c>
      <c r="BI5" s="18" t="s">
        <v>14</v>
      </c>
      <c r="BO5" s="14" t="s">
        <v>15</v>
      </c>
      <c r="BP5" s="50" t="str">
        <f t="shared" ref="BP5:CQ5" si="2">TEXT(BP6,"DDD")</f>
        <v>Sat</v>
      </c>
      <c r="BQ5" s="50" t="str">
        <f t="shared" si="2"/>
        <v>Sun</v>
      </c>
      <c r="BR5" s="50" t="str">
        <f t="shared" si="2"/>
        <v>Mon</v>
      </c>
      <c r="BS5" s="50" t="str">
        <f t="shared" si="2"/>
        <v>Tue</v>
      </c>
      <c r="BT5" s="50" t="str">
        <f t="shared" si="2"/>
        <v>Wed</v>
      </c>
      <c r="BU5" s="50" t="str">
        <f t="shared" si="2"/>
        <v>Thu</v>
      </c>
      <c r="BV5" s="50" t="str">
        <f t="shared" si="2"/>
        <v>Fri</v>
      </c>
      <c r="BW5" s="50" t="str">
        <f t="shared" si="2"/>
        <v>Sat</v>
      </c>
      <c r="BX5" s="50" t="str">
        <f t="shared" si="2"/>
        <v>Sun</v>
      </c>
      <c r="BY5" s="50" t="str">
        <f t="shared" si="2"/>
        <v>Mon</v>
      </c>
      <c r="BZ5" s="50" t="str">
        <f t="shared" si="2"/>
        <v>Tue</v>
      </c>
      <c r="CA5" s="50" t="str">
        <f t="shared" si="2"/>
        <v>Wed</v>
      </c>
      <c r="CB5" s="50" t="str">
        <f t="shared" si="2"/>
        <v>Thu</v>
      </c>
      <c r="CC5" s="50" t="str">
        <f t="shared" si="2"/>
        <v>Fri</v>
      </c>
      <c r="CD5" s="50" t="str">
        <f t="shared" si="2"/>
        <v>Sat</v>
      </c>
      <c r="CE5" s="50" t="str">
        <f t="shared" si="2"/>
        <v>Sun</v>
      </c>
      <c r="CF5" s="50" t="str">
        <f t="shared" si="2"/>
        <v>Mon</v>
      </c>
      <c r="CG5" s="50" t="str">
        <f t="shared" si="2"/>
        <v>Tue</v>
      </c>
      <c r="CH5" s="50" t="str">
        <f t="shared" si="2"/>
        <v>Wed</v>
      </c>
      <c r="CI5" s="50" t="str">
        <f t="shared" si="2"/>
        <v>Thu</v>
      </c>
      <c r="CJ5" s="50" t="str">
        <f t="shared" si="2"/>
        <v>Fri</v>
      </c>
      <c r="CK5" s="50" t="str">
        <f t="shared" si="2"/>
        <v>Sat</v>
      </c>
      <c r="CL5" s="50" t="str">
        <f t="shared" si="2"/>
        <v>Sun</v>
      </c>
      <c r="CM5" s="50" t="str">
        <f t="shared" si="2"/>
        <v>Mon</v>
      </c>
      <c r="CN5" s="50" t="str">
        <f t="shared" si="2"/>
        <v>Tue</v>
      </c>
      <c r="CO5" s="50" t="str">
        <f t="shared" si="2"/>
        <v>Wed</v>
      </c>
      <c r="CP5" s="50" t="str">
        <f t="shared" si="2"/>
        <v>Thu</v>
      </c>
      <c r="CQ5" s="50" t="str">
        <f t="shared" si="2"/>
        <v>Fri</v>
      </c>
      <c r="CS5" s="14" t="s">
        <v>10</v>
      </c>
      <c r="CT5" s="50" t="str">
        <f t="shared" ref="CT5:DU5" si="3">TEXT(CT6,"DDD")</f>
        <v>Sat</v>
      </c>
      <c r="CU5" s="50" t="str">
        <f t="shared" si="3"/>
        <v>Sun</v>
      </c>
      <c r="CV5" s="50" t="str">
        <f t="shared" si="3"/>
        <v>Mon</v>
      </c>
      <c r="CW5" s="50" t="str">
        <f t="shared" si="3"/>
        <v>Tue</v>
      </c>
      <c r="CX5" s="50" t="str">
        <f t="shared" si="3"/>
        <v>Wed</v>
      </c>
      <c r="CY5" s="50" t="str">
        <f t="shared" si="3"/>
        <v>Thu</v>
      </c>
      <c r="CZ5" s="50" t="str">
        <f t="shared" si="3"/>
        <v>Fri</v>
      </c>
      <c r="DA5" s="50" t="str">
        <f t="shared" si="3"/>
        <v>Sat</v>
      </c>
      <c r="DB5" s="50" t="str">
        <f t="shared" si="3"/>
        <v>Sun</v>
      </c>
      <c r="DC5" s="50" t="str">
        <f t="shared" si="3"/>
        <v>Mon</v>
      </c>
      <c r="DD5" s="50" t="str">
        <f t="shared" si="3"/>
        <v>Tue</v>
      </c>
      <c r="DE5" s="50" t="str">
        <f t="shared" si="3"/>
        <v>Wed</v>
      </c>
      <c r="DF5" s="50" t="str">
        <f t="shared" si="3"/>
        <v>Thu</v>
      </c>
      <c r="DG5" s="50" t="str">
        <f t="shared" si="3"/>
        <v>Fri</v>
      </c>
      <c r="DH5" s="50" t="str">
        <f t="shared" si="3"/>
        <v>Sat</v>
      </c>
      <c r="DI5" s="50" t="str">
        <f t="shared" si="3"/>
        <v>Sun</v>
      </c>
      <c r="DJ5" s="50" t="str">
        <f t="shared" si="3"/>
        <v>Mon</v>
      </c>
      <c r="DK5" s="50" t="str">
        <f t="shared" si="3"/>
        <v>Tue</v>
      </c>
      <c r="DL5" s="50" t="str">
        <f t="shared" si="3"/>
        <v>Wed</v>
      </c>
      <c r="DM5" s="50" t="str">
        <f t="shared" si="3"/>
        <v>Thu</v>
      </c>
      <c r="DN5" s="50" t="str">
        <f t="shared" si="3"/>
        <v>Fri</v>
      </c>
      <c r="DO5" s="50" t="str">
        <f t="shared" si="3"/>
        <v>Sat</v>
      </c>
      <c r="DP5" s="50" t="str">
        <f t="shared" si="3"/>
        <v>Sun</v>
      </c>
      <c r="DQ5" s="50" t="str">
        <f t="shared" si="3"/>
        <v>Mon</v>
      </c>
      <c r="DR5" s="50" t="str">
        <f t="shared" si="3"/>
        <v>Tue</v>
      </c>
      <c r="DS5" s="50" t="str">
        <f t="shared" si="3"/>
        <v>Wed</v>
      </c>
      <c r="DT5" s="50" t="str">
        <f t="shared" si="3"/>
        <v>Thu</v>
      </c>
      <c r="DU5" s="50" t="str">
        <f t="shared" si="3"/>
        <v>Fri</v>
      </c>
    </row>
    <row r="6" spans="1:125" ht="54" customHeight="1">
      <c r="A6" s="5" t="s">
        <v>16</v>
      </c>
      <c r="B6" s="60" t="s">
        <v>17</v>
      </c>
      <c r="C6" s="61">
        <f>SUM(D6:AY6)</f>
        <v>56</v>
      </c>
      <c r="D6" s="46">
        <v>5</v>
      </c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>
        <v>51</v>
      </c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35"/>
      <c r="BA6" s="19">
        <f>SUM(BA7:BA54)/17</f>
        <v>34.785882352941165</v>
      </c>
      <c r="BB6" s="19">
        <f>SUM(BB7:BB54)/17</f>
        <v>22.411764705882351</v>
      </c>
      <c r="BC6" s="19">
        <f>SUM(BC7:BC54)</f>
        <v>4736.2297411764675</v>
      </c>
      <c r="BD6" s="19">
        <f>SUM(BD7:BD54)</f>
        <v>418.23214285714289</v>
      </c>
      <c r="BE6" s="48">
        <f>26*60</f>
        <v>1560</v>
      </c>
      <c r="BF6" s="20">
        <f>SUMPRODUCT(BF7:BF54,BD7:BD54)/BD6</f>
        <v>0.89510362979634961</v>
      </c>
      <c r="BG6" s="20">
        <f>SUMPRODUCT(BG7:BG54,BA7:BA54)/SUM(BA7:BA54)</f>
        <v>0.57113861849828962</v>
      </c>
      <c r="BH6" s="20"/>
      <c r="BI6" s="20"/>
      <c r="BJ6" s="30">
        <f>SUM(BJ7:BJ54)</f>
        <v>685800</v>
      </c>
      <c r="BK6" s="1">
        <f>BD6*BE6</f>
        <v>652442.14285714296</v>
      </c>
      <c r="BL6" s="34">
        <f>BK6/BJ6</f>
        <v>0.95135920509936267</v>
      </c>
      <c r="BO6" s="15" t="s">
        <v>18</v>
      </c>
      <c r="BP6" s="54">
        <v>44492</v>
      </c>
      <c r="BQ6" s="54">
        <f>BP6+1</f>
        <v>44493</v>
      </c>
      <c r="BR6" s="13">
        <f t="shared" ref="BR6:CQ6" si="4">BQ6+1</f>
        <v>44494</v>
      </c>
      <c r="BS6" s="13">
        <f t="shared" si="4"/>
        <v>44495</v>
      </c>
      <c r="BT6" s="13">
        <f t="shared" si="4"/>
        <v>44496</v>
      </c>
      <c r="BU6" s="13">
        <f t="shared" si="4"/>
        <v>44497</v>
      </c>
      <c r="BV6" s="13">
        <f t="shared" si="4"/>
        <v>44498</v>
      </c>
      <c r="BW6" s="13">
        <f t="shared" si="4"/>
        <v>44499</v>
      </c>
      <c r="BX6" s="13">
        <f t="shared" si="4"/>
        <v>44500</v>
      </c>
      <c r="BY6" s="13">
        <f t="shared" si="4"/>
        <v>44501</v>
      </c>
      <c r="BZ6" s="13">
        <f t="shared" si="4"/>
        <v>44502</v>
      </c>
      <c r="CA6" s="13">
        <f t="shared" si="4"/>
        <v>44503</v>
      </c>
      <c r="CB6" s="13">
        <f t="shared" si="4"/>
        <v>44504</v>
      </c>
      <c r="CC6" s="13">
        <f t="shared" si="4"/>
        <v>44505</v>
      </c>
      <c r="CD6" s="13">
        <f t="shared" si="4"/>
        <v>44506</v>
      </c>
      <c r="CE6" s="13">
        <f t="shared" si="4"/>
        <v>44507</v>
      </c>
      <c r="CF6" s="13">
        <f t="shared" si="4"/>
        <v>44508</v>
      </c>
      <c r="CG6" s="13">
        <f t="shared" si="4"/>
        <v>44509</v>
      </c>
      <c r="CH6" s="13">
        <f t="shared" si="4"/>
        <v>44510</v>
      </c>
      <c r="CI6" s="13">
        <f t="shared" si="4"/>
        <v>44511</v>
      </c>
      <c r="CJ6" s="13">
        <f t="shared" si="4"/>
        <v>44512</v>
      </c>
      <c r="CK6" s="13">
        <f t="shared" si="4"/>
        <v>44513</v>
      </c>
      <c r="CL6" s="13">
        <f t="shared" si="4"/>
        <v>44514</v>
      </c>
      <c r="CM6" s="13">
        <f t="shared" si="4"/>
        <v>44515</v>
      </c>
      <c r="CN6" s="13">
        <f t="shared" si="4"/>
        <v>44516</v>
      </c>
      <c r="CO6" s="13">
        <f t="shared" si="4"/>
        <v>44517</v>
      </c>
      <c r="CP6" s="13">
        <f t="shared" si="4"/>
        <v>44518</v>
      </c>
      <c r="CQ6" s="13">
        <f t="shared" si="4"/>
        <v>44519</v>
      </c>
      <c r="CS6" s="15" t="s">
        <v>18</v>
      </c>
      <c r="CT6" s="13">
        <f>BP6</f>
        <v>44492</v>
      </c>
      <c r="CU6" s="13">
        <f>CT6+1</f>
        <v>44493</v>
      </c>
      <c r="CV6" s="13">
        <f t="shared" ref="CV6" si="5">CU6+1</f>
        <v>44494</v>
      </c>
      <c r="CW6" s="13">
        <f t="shared" ref="CW6" si="6">CV6+1</f>
        <v>44495</v>
      </c>
      <c r="CX6" s="13">
        <f t="shared" ref="CX6" si="7">CW6+1</f>
        <v>44496</v>
      </c>
      <c r="CY6" s="13">
        <f t="shared" ref="CY6" si="8">CX6+1</f>
        <v>44497</v>
      </c>
      <c r="CZ6" s="13">
        <f t="shared" ref="CZ6" si="9">CY6+1</f>
        <v>44498</v>
      </c>
      <c r="DA6" s="13">
        <f t="shared" ref="DA6" si="10">CZ6+1</f>
        <v>44499</v>
      </c>
      <c r="DB6" s="13">
        <f t="shared" ref="DB6" si="11">DA6+1</f>
        <v>44500</v>
      </c>
      <c r="DC6" s="13">
        <f t="shared" ref="DC6" si="12">DB6+1</f>
        <v>44501</v>
      </c>
      <c r="DD6" s="13">
        <f t="shared" ref="DD6" si="13">DC6+1</f>
        <v>44502</v>
      </c>
      <c r="DE6" s="13">
        <f t="shared" ref="DE6" si="14">DD6+1</f>
        <v>44503</v>
      </c>
      <c r="DF6" s="13">
        <f t="shared" ref="DF6" si="15">DE6+1</f>
        <v>44504</v>
      </c>
      <c r="DG6" s="13">
        <f t="shared" ref="DG6" si="16">DF6+1</f>
        <v>44505</v>
      </c>
      <c r="DH6" s="13">
        <f t="shared" ref="DH6" si="17">DG6+1</f>
        <v>44506</v>
      </c>
      <c r="DI6" s="13">
        <f t="shared" ref="DI6" si="18">DH6+1</f>
        <v>44507</v>
      </c>
      <c r="DJ6" s="13">
        <f t="shared" ref="DJ6" si="19">DI6+1</f>
        <v>44508</v>
      </c>
      <c r="DK6" s="13">
        <f t="shared" ref="DK6" si="20">DJ6+1</f>
        <v>44509</v>
      </c>
      <c r="DL6" s="13">
        <f t="shared" ref="DL6" si="21">DK6+1</f>
        <v>44510</v>
      </c>
      <c r="DM6" s="13">
        <f t="shared" ref="DM6" si="22">DL6+1</f>
        <v>44511</v>
      </c>
      <c r="DN6" s="13">
        <f t="shared" ref="DN6" si="23">DM6+1</f>
        <v>44512</v>
      </c>
      <c r="DO6" s="13">
        <f t="shared" ref="DO6" si="24">DN6+1</f>
        <v>44513</v>
      </c>
      <c r="DP6" s="13">
        <f t="shared" ref="DP6" si="25">DO6+1</f>
        <v>44514</v>
      </c>
      <c r="DQ6" s="13">
        <f t="shared" ref="DQ6" si="26">DP6+1</f>
        <v>44515</v>
      </c>
      <c r="DR6" s="13">
        <f t="shared" ref="DR6" si="27">DQ6+1</f>
        <v>44516</v>
      </c>
      <c r="DS6" s="13">
        <f t="shared" ref="DS6" si="28">DR6+1</f>
        <v>44517</v>
      </c>
      <c r="DT6" s="13">
        <f t="shared" ref="DT6" si="29">DS6+1</f>
        <v>44518</v>
      </c>
      <c r="DU6" s="13">
        <f t="shared" ref="DU6" si="30">DT6+1</f>
        <v>44519</v>
      </c>
    </row>
    <row r="7" spans="1:125" outlineLevel="1">
      <c r="A7" s="3">
        <v>0</v>
      </c>
      <c r="B7" s="4">
        <f>A7</f>
        <v>0</v>
      </c>
      <c r="D7" s="36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>
        <f t="shared" ref="AI7:AY7" si="31">AI$6</f>
        <v>0</v>
      </c>
      <c r="AJ7" s="38">
        <f t="shared" si="31"/>
        <v>0</v>
      </c>
      <c r="AK7" s="38">
        <f t="shared" si="31"/>
        <v>0</v>
      </c>
      <c r="AL7" s="38">
        <f t="shared" si="31"/>
        <v>0</v>
      </c>
      <c r="AM7" s="38">
        <f t="shared" si="31"/>
        <v>51</v>
      </c>
      <c r="AN7" s="38">
        <f t="shared" si="31"/>
        <v>0</v>
      </c>
      <c r="AO7" s="38">
        <f t="shared" si="31"/>
        <v>0</v>
      </c>
      <c r="AP7" s="38">
        <f t="shared" si="31"/>
        <v>0</v>
      </c>
      <c r="AQ7" s="38">
        <f t="shared" si="31"/>
        <v>0</v>
      </c>
      <c r="AR7" s="38">
        <f t="shared" si="31"/>
        <v>0</v>
      </c>
      <c r="AS7" s="38">
        <f t="shared" si="31"/>
        <v>0</v>
      </c>
      <c r="AT7" s="38">
        <f t="shared" si="31"/>
        <v>0</v>
      </c>
      <c r="AU7" s="38">
        <f t="shared" si="31"/>
        <v>0</v>
      </c>
      <c r="AV7" s="38">
        <f t="shared" si="31"/>
        <v>0</v>
      </c>
      <c r="AW7" s="38">
        <f t="shared" si="31"/>
        <v>0</v>
      </c>
      <c r="AX7" s="37">
        <f t="shared" si="31"/>
        <v>0</v>
      </c>
      <c r="AY7" s="52">
        <f t="shared" si="31"/>
        <v>0</v>
      </c>
      <c r="AZ7" s="34"/>
      <c r="BA7" s="9">
        <f>((SUM(D7:AY7)*(1-$BA$1))*(1-$BB$1))*(1-$AZ$1)</f>
        <v>31.679999999999996</v>
      </c>
      <c r="BB7" s="6">
        <f>IF(BD7&lt;=0,0,Agents($A$1,$B$1,BD7*2,BE7))</f>
        <v>17</v>
      </c>
      <c r="BC7" s="9">
        <f>POWER((BA7-BB7),2)</f>
        <v>215.50239999999988</v>
      </c>
      <c r="BD7" s="9">
        <f>IFERROR((SUM(BP7:CQ7)/COUNTIF(BP7:CQ7,"&gt;0")/$BC$1),0)</f>
        <v>18.857142857142858</v>
      </c>
      <c r="BE7" s="9">
        <f>IF(BD7=0,0,$BE$6)</f>
        <v>1560</v>
      </c>
      <c r="BF7" s="17">
        <f>SLA(BA7,$B$1,BD7*2,BE7)</f>
        <v>1</v>
      </c>
      <c r="BG7" s="17">
        <f>Utilisation(BA7,BD7*2,BE7)</f>
        <v>0.5158730149269104</v>
      </c>
      <c r="BH7" s="21">
        <f>IFERROR((BA7/BB7),0)</f>
        <v>1.8635294117647057</v>
      </c>
      <c r="BI7" s="22">
        <f t="shared" ref="BI7:BI54" si="32">BA7/SUM($BA$7:$BA$54)</f>
        <v>5.3571428571428582E-2</v>
      </c>
      <c r="BJ7" s="30">
        <f t="shared" ref="BJ7:BJ14" si="33">BB7*1800</f>
        <v>30600</v>
      </c>
      <c r="BO7" s="11">
        <v>0</v>
      </c>
      <c r="BP7" s="16">
        <v>7.5</v>
      </c>
      <c r="BQ7" s="16">
        <v>2.625</v>
      </c>
      <c r="BR7" s="16">
        <v>18.625</v>
      </c>
      <c r="BS7" s="16">
        <v>21.125</v>
      </c>
      <c r="BT7" s="16">
        <v>33.875</v>
      </c>
      <c r="BU7" s="16">
        <v>23.875</v>
      </c>
      <c r="BV7" s="16">
        <v>24.375</v>
      </c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S7" s="11">
        <v>0</v>
      </c>
      <c r="CT7" s="16">
        <v>650</v>
      </c>
      <c r="CU7" s="16">
        <v>650</v>
      </c>
      <c r="CV7" s="16">
        <v>650</v>
      </c>
      <c r="CW7" s="16">
        <v>650</v>
      </c>
      <c r="CX7" s="16">
        <v>650</v>
      </c>
      <c r="CY7" s="16">
        <v>650</v>
      </c>
      <c r="CZ7" s="16">
        <v>650</v>
      </c>
      <c r="DA7" s="16">
        <v>584</v>
      </c>
      <c r="DB7" s="16">
        <v>584</v>
      </c>
      <c r="DC7" s="16">
        <v>584</v>
      </c>
      <c r="DD7" s="16">
        <v>584</v>
      </c>
      <c r="DE7" s="16">
        <v>584</v>
      </c>
      <c r="DF7" s="16">
        <v>584</v>
      </c>
      <c r="DG7" s="16">
        <v>584</v>
      </c>
      <c r="DH7" s="16">
        <v>617</v>
      </c>
      <c r="DI7" s="16">
        <v>617</v>
      </c>
      <c r="DJ7" s="16">
        <v>617</v>
      </c>
      <c r="DK7" s="16">
        <v>617</v>
      </c>
      <c r="DL7" s="16">
        <v>617</v>
      </c>
      <c r="DM7" s="16">
        <v>617</v>
      </c>
      <c r="DN7" s="16">
        <v>617</v>
      </c>
      <c r="DO7" s="16">
        <v>584</v>
      </c>
      <c r="DP7" s="16">
        <v>584</v>
      </c>
      <c r="DQ7" s="16">
        <v>584</v>
      </c>
      <c r="DR7" s="16">
        <v>584</v>
      </c>
      <c r="DS7" s="16">
        <v>584</v>
      </c>
      <c r="DT7" s="16">
        <v>584</v>
      </c>
      <c r="DU7" s="16">
        <v>584</v>
      </c>
    </row>
    <row r="8" spans="1:125" outlineLevel="1">
      <c r="A8" s="2">
        <f>A7+"0:30:00"</f>
        <v>2.0833333333333332E-2</v>
      </c>
      <c r="B8" s="4">
        <f t="shared" ref="B8:B54" si="34">A8</f>
        <v>2.0833333333333332E-2</v>
      </c>
      <c r="D8" s="39">
        <f>D$6</f>
        <v>5</v>
      </c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38">
        <f t="shared" ref="AJ8:AX22" si="35">AJ$6</f>
        <v>0</v>
      </c>
      <c r="AK8" s="38">
        <f t="shared" si="35"/>
        <v>0</v>
      </c>
      <c r="AL8" s="40">
        <f t="shared" si="35"/>
        <v>0</v>
      </c>
      <c r="AM8" s="40">
        <f t="shared" si="35"/>
        <v>51</v>
      </c>
      <c r="AN8" s="40">
        <f t="shared" si="35"/>
        <v>0</v>
      </c>
      <c r="AO8" s="40">
        <f t="shared" si="35"/>
        <v>0</v>
      </c>
      <c r="AP8" s="40">
        <f t="shared" si="35"/>
        <v>0</v>
      </c>
      <c r="AQ8" s="40">
        <f t="shared" si="35"/>
        <v>0</v>
      </c>
      <c r="AR8" s="40">
        <f t="shared" si="35"/>
        <v>0</v>
      </c>
      <c r="AS8" s="40">
        <f t="shared" si="35"/>
        <v>0</v>
      </c>
      <c r="AT8" s="40">
        <f t="shared" si="35"/>
        <v>0</v>
      </c>
      <c r="AU8" s="40">
        <f t="shared" si="35"/>
        <v>0</v>
      </c>
      <c r="AV8" s="40">
        <f t="shared" si="35"/>
        <v>0</v>
      </c>
      <c r="AW8" s="40">
        <f t="shared" si="35"/>
        <v>0</v>
      </c>
      <c r="AX8" s="40">
        <f t="shared" si="35"/>
        <v>0</v>
      </c>
      <c r="AY8" s="41">
        <f t="shared" ref="AY8:AY23" si="36">AY$6</f>
        <v>0</v>
      </c>
      <c r="AZ8" s="34"/>
      <c r="BA8" s="9">
        <f t="shared" ref="BA8:BA54" si="37">((SUM(D8:AY8)*(1-$BA$1))*(1-$BB$1))*(1-$AZ$1)</f>
        <v>34.785882352941172</v>
      </c>
      <c r="BB8" s="6">
        <f>IF(BD8&lt;=0,0,Agents($A$1,$B$1,BD8*2,BE8))</f>
        <v>18</v>
      </c>
      <c r="BC8" s="9">
        <f>POWER((BA8-BB8),2)</f>
        <v>281.76584636678189</v>
      </c>
      <c r="BD8" s="9">
        <f t="shared" ref="BD8:BD54" si="38">IFERROR((SUM(BP8:CQ8)/COUNTIF(BP8:CQ8,"&gt;0")/$BC$1),0)</f>
        <v>19.821428571428573</v>
      </c>
      <c r="BE8" s="9">
        <f t="shared" ref="BE8:BE54" si="39">IF(BD8=0,0,$BE$6)</f>
        <v>1560</v>
      </c>
      <c r="BF8" s="17">
        <f t="shared" ref="BF8:BF54" si="40">SLA(BA8,$B$1,BD8*2,BE8)</f>
        <v>1</v>
      </c>
      <c r="BG8" s="17">
        <f t="shared" ref="BG8:BG54" si="41">Utilisation(BA8,BD8*2,BE8)</f>
        <v>0.49383747577667236</v>
      </c>
      <c r="BH8" s="21">
        <f t="shared" ref="BH8:BH54" si="42">IFERROR((BA8/BB8),0)</f>
        <v>1.932549019607843</v>
      </c>
      <c r="BI8" s="22">
        <f t="shared" si="32"/>
        <v>5.8823529411764719E-2</v>
      </c>
      <c r="BJ8" s="30">
        <f t="shared" si="33"/>
        <v>32400</v>
      </c>
      <c r="BO8" s="11">
        <v>2.0833333333333332E-2</v>
      </c>
      <c r="BP8" s="16">
        <v>7.75</v>
      </c>
      <c r="BQ8" s="16">
        <v>2</v>
      </c>
      <c r="BR8" s="16">
        <v>21.25</v>
      </c>
      <c r="BS8" s="16">
        <v>26.25</v>
      </c>
      <c r="BT8" s="16">
        <v>31.625</v>
      </c>
      <c r="BU8" s="16">
        <v>27.25</v>
      </c>
      <c r="BV8" s="16">
        <v>22.625</v>
      </c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S8" s="11">
        <v>2.0833333333333332E-2</v>
      </c>
      <c r="CT8" s="16">
        <v>650</v>
      </c>
      <c r="CU8" s="16">
        <v>650</v>
      </c>
      <c r="CV8" s="16">
        <v>650</v>
      </c>
      <c r="CW8" s="16">
        <v>650</v>
      </c>
      <c r="CX8" s="16">
        <v>650</v>
      </c>
      <c r="CY8" s="16">
        <v>650</v>
      </c>
      <c r="CZ8" s="16">
        <v>650</v>
      </c>
      <c r="DA8" s="16">
        <v>584</v>
      </c>
      <c r="DB8" s="16">
        <v>584</v>
      </c>
      <c r="DC8" s="16">
        <v>584</v>
      </c>
      <c r="DD8" s="16">
        <v>584</v>
      </c>
      <c r="DE8" s="16">
        <v>584</v>
      </c>
      <c r="DF8" s="16">
        <v>584</v>
      </c>
      <c r="DG8" s="16">
        <v>584</v>
      </c>
      <c r="DH8" s="16">
        <v>617</v>
      </c>
      <c r="DI8" s="16">
        <v>617</v>
      </c>
      <c r="DJ8" s="16">
        <v>617</v>
      </c>
      <c r="DK8" s="16">
        <v>617</v>
      </c>
      <c r="DL8" s="16">
        <v>617</v>
      </c>
      <c r="DM8" s="16">
        <v>617</v>
      </c>
      <c r="DN8" s="16">
        <v>617</v>
      </c>
      <c r="DO8" s="16">
        <v>584</v>
      </c>
      <c r="DP8" s="16">
        <v>584</v>
      </c>
      <c r="DQ8" s="16">
        <v>584</v>
      </c>
      <c r="DR8" s="16">
        <v>584</v>
      </c>
      <c r="DS8" s="16">
        <v>584</v>
      </c>
      <c r="DT8" s="16">
        <v>584</v>
      </c>
      <c r="DU8" s="16">
        <v>584</v>
      </c>
    </row>
    <row r="9" spans="1:125" outlineLevel="1">
      <c r="A9" s="2">
        <f t="shared" ref="A9:A54" si="43">A8+"0:30:00"</f>
        <v>4.1666666666666664E-2</v>
      </c>
      <c r="B9" s="4">
        <f t="shared" si="34"/>
        <v>4.1666666666666664E-2</v>
      </c>
      <c r="D9" s="39">
        <f t="shared" ref="D9:AW53" si="44">D$6</f>
        <v>5</v>
      </c>
      <c r="E9" s="40">
        <f>E$6</f>
        <v>0</v>
      </c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38">
        <f t="shared" si="35"/>
        <v>0</v>
      </c>
      <c r="AL9" s="40">
        <f t="shared" si="35"/>
        <v>0</v>
      </c>
      <c r="AM9" s="40">
        <f t="shared" si="35"/>
        <v>51</v>
      </c>
      <c r="AN9" s="40">
        <f t="shared" si="35"/>
        <v>0</v>
      </c>
      <c r="AO9" s="40">
        <f t="shared" si="35"/>
        <v>0</v>
      </c>
      <c r="AP9" s="40">
        <f t="shared" si="35"/>
        <v>0</v>
      </c>
      <c r="AQ9" s="40">
        <f t="shared" si="35"/>
        <v>0</v>
      </c>
      <c r="AR9" s="40">
        <f t="shared" si="35"/>
        <v>0</v>
      </c>
      <c r="AS9" s="40">
        <f t="shared" si="35"/>
        <v>0</v>
      </c>
      <c r="AT9" s="40">
        <f t="shared" si="35"/>
        <v>0</v>
      </c>
      <c r="AU9" s="40">
        <f t="shared" si="35"/>
        <v>0</v>
      </c>
      <c r="AV9" s="40">
        <f t="shared" si="35"/>
        <v>0</v>
      </c>
      <c r="AW9" s="40">
        <f t="shared" si="35"/>
        <v>0</v>
      </c>
      <c r="AX9" s="40">
        <f t="shared" si="35"/>
        <v>0</v>
      </c>
      <c r="AY9" s="41">
        <f t="shared" si="36"/>
        <v>0</v>
      </c>
      <c r="AZ9" s="34"/>
      <c r="BA9" s="9">
        <f t="shared" si="37"/>
        <v>34.785882352941172</v>
      </c>
      <c r="BB9" s="6">
        <f>IF(BD9&lt;=0,0,Agents($A$1,$B$1,BD9*2,BE9))</f>
        <v>16</v>
      </c>
      <c r="BC9" s="9">
        <f t="shared" ref="BC9:BC54" si="45">POWER((BA9-BB9),2)</f>
        <v>352.90937577854658</v>
      </c>
      <c r="BD9" s="9">
        <f t="shared" si="38"/>
        <v>17.25</v>
      </c>
      <c r="BE9" s="9">
        <f t="shared" si="39"/>
        <v>1560</v>
      </c>
      <c r="BF9" s="17">
        <f t="shared" si="40"/>
        <v>1</v>
      </c>
      <c r="BG9" s="17">
        <f t="shared" si="41"/>
        <v>0.42977204918861389</v>
      </c>
      <c r="BH9" s="21">
        <f t="shared" si="42"/>
        <v>2.1741176470588233</v>
      </c>
      <c r="BI9" s="22">
        <f t="shared" si="32"/>
        <v>5.8823529411764719E-2</v>
      </c>
      <c r="BJ9" s="30">
        <f t="shared" si="33"/>
        <v>28800</v>
      </c>
      <c r="BO9" s="11">
        <v>4.1666666666666664E-2</v>
      </c>
      <c r="BP9" s="16">
        <v>6</v>
      </c>
      <c r="BQ9" s="16">
        <v>1.5</v>
      </c>
      <c r="BR9" s="16">
        <v>18.125</v>
      </c>
      <c r="BS9" s="16">
        <v>22.5</v>
      </c>
      <c r="BT9" s="16">
        <v>27.5</v>
      </c>
      <c r="BU9" s="16">
        <v>23.625</v>
      </c>
      <c r="BV9" s="16">
        <v>21.5</v>
      </c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S9" s="11">
        <v>4.1666666666666664E-2</v>
      </c>
      <c r="CT9" s="16">
        <v>650</v>
      </c>
      <c r="CU9" s="16">
        <v>650</v>
      </c>
      <c r="CV9" s="16">
        <v>650</v>
      </c>
      <c r="CW9" s="16">
        <v>650</v>
      </c>
      <c r="CX9" s="16">
        <v>650</v>
      </c>
      <c r="CY9" s="16">
        <v>650</v>
      </c>
      <c r="CZ9" s="16">
        <v>650</v>
      </c>
      <c r="DA9" s="16">
        <v>584</v>
      </c>
      <c r="DB9" s="16">
        <v>584</v>
      </c>
      <c r="DC9" s="16">
        <v>584</v>
      </c>
      <c r="DD9" s="16">
        <v>584</v>
      </c>
      <c r="DE9" s="16">
        <v>584</v>
      </c>
      <c r="DF9" s="16">
        <v>584</v>
      </c>
      <c r="DG9" s="16">
        <v>584</v>
      </c>
      <c r="DH9" s="16">
        <v>617</v>
      </c>
      <c r="DI9" s="16">
        <v>617</v>
      </c>
      <c r="DJ9" s="16">
        <v>617</v>
      </c>
      <c r="DK9" s="16">
        <v>617</v>
      </c>
      <c r="DL9" s="16">
        <v>617</v>
      </c>
      <c r="DM9" s="16">
        <v>617</v>
      </c>
      <c r="DN9" s="16">
        <v>617</v>
      </c>
      <c r="DO9" s="16">
        <v>584</v>
      </c>
      <c r="DP9" s="16">
        <v>584</v>
      </c>
      <c r="DQ9" s="16">
        <v>584</v>
      </c>
      <c r="DR9" s="16">
        <v>584</v>
      </c>
      <c r="DS9" s="16">
        <v>584</v>
      </c>
      <c r="DT9" s="16">
        <v>584</v>
      </c>
      <c r="DU9" s="16">
        <v>584</v>
      </c>
    </row>
    <row r="10" spans="1:125" outlineLevel="1">
      <c r="A10" s="2">
        <f t="shared" si="43"/>
        <v>6.25E-2</v>
      </c>
      <c r="B10" s="4">
        <f t="shared" si="34"/>
        <v>6.25E-2</v>
      </c>
      <c r="D10" s="39">
        <f t="shared" si="44"/>
        <v>5</v>
      </c>
      <c r="E10" s="40">
        <f t="shared" si="44"/>
        <v>0</v>
      </c>
      <c r="F10" s="40">
        <f>F$6</f>
        <v>0</v>
      </c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>
        <f t="shared" si="35"/>
        <v>0</v>
      </c>
      <c r="AM10" s="40">
        <f t="shared" si="35"/>
        <v>51</v>
      </c>
      <c r="AN10" s="40">
        <f t="shared" si="35"/>
        <v>0</v>
      </c>
      <c r="AO10" s="40">
        <f t="shared" si="35"/>
        <v>0</v>
      </c>
      <c r="AP10" s="40">
        <f t="shared" si="35"/>
        <v>0</v>
      </c>
      <c r="AQ10" s="40">
        <f t="shared" si="35"/>
        <v>0</v>
      </c>
      <c r="AR10" s="40">
        <f t="shared" si="35"/>
        <v>0</v>
      </c>
      <c r="AS10" s="40">
        <f t="shared" si="35"/>
        <v>0</v>
      </c>
      <c r="AT10" s="40">
        <f t="shared" si="35"/>
        <v>0</v>
      </c>
      <c r="AU10" s="40">
        <f t="shared" si="35"/>
        <v>0</v>
      </c>
      <c r="AV10" s="40">
        <f t="shared" si="35"/>
        <v>0</v>
      </c>
      <c r="AW10" s="40">
        <f t="shared" si="35"/>
        <v>0</v>
      </c>
      <c r="AX10" s="40">
        <f t="shared" si="35"/>
        <v>0</v>
      </c>
      <c r="AY10" s="41">
        <f t="shared" si="36"/>
        <v>0</v>
      </c>
      <c r="AZ10" s="34"/>
      <c r="BA10" s="9">
        <f t="shared" si="37"/>
        <v>34.785882352941172</v>
      </c>
      <c r="BB10" s="6">
        <f>IF(BD10&lt;=0,0,Agents($A$1,$B$1,BD10*2,BE10))</f>
        <v>17</v>
      </c>
      <c r="BC10" s="9">
        <f t="shared" si="45"/>
        <v>316.33761107266423</v>
      </c>
      <c r="BD10" s="9">
        <f t="shared" si="38"/>
        <v>18.857142857142858</v>
      </c>
      <c r="BE10" s="9">
        <f t="shared" si="39"/>
        <v>1560</v>
      </c>
      <c r="BF10" s="17">
        <f t="shared" si="40"/>
        <v>1</v>
      </c>
      <c r="BG10" s="17">
        <f t="shared" si="41"/>
        <v>0.46981295943260193</v>
      </c>
      <c r="BH10" s="21">
        <f t="shared" si="42"/>
        <v>2.0462283737024221</v>
      </c>
      <c r="BI10" s="22">
        <f t="shared" si="32"/>
        <v>5.8823529411764719E-2</v>
      </c>
      <c r="BJ10" s="30">
        <f t="shared" si="33"/>
        <v>30600</v>
      </c>
      <c r="BO10" s="11">
        <v>6.25E-2</v>
      </c>
      <c r="BP10" s="16">
        <v>6.625</v>
      </c>
      <c r="BQ10" s="16">
        <v>1.75</v>
      </c>
      <c r="BR10" s="16">
        <v>23.375</v>
      </c>
      <c r="BS10" s="16">
        <v>24.75</v>
      </c>
      <c r="BT10" s="16">
        <v>29.25</v>
      </c>
      <c r="BU10" s="16">
        <v>23.25</v>
      </c>
      <c r="BV10" s="16">
        <v>23</v>
      </c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S10" s="11">
        <v>6.25E-2</v>
      </c>
      <c r="CT10" s="16">
        <v>650</v>
      </c>
      <c r="CU10" s="16">
        <v>650</v>
      </c>
      <c r="CV10" s="16">
        <v>650</v>
      </c>
      <c r="CW10" s="16">
        <v>650</v>
      </c>
      <c r="CX10" s="16">
        <v>650</v>
      </c>
      <c r="CY10" s="16">
        <v>650</v>
      </c>
      <c r="CZ10" s="16">
        <v>650</v>
      </c>
      <c r="DA10" s="16">
        <v>584</v>
      </c>
      <c r="DB10" s="16">
        <v>584</v>
      </c>
      <c r="DC10" s="16">
        <v>584</v>
      </c>
      <c r="DD10" s="16">
        <v>584</v>
      </c>
      <c r="DE10" s="16">
        <v>584</v>
      </c>
      <c r="DF10" s="16">
        <v>584</v>
      </c>
      <c r="DG10" s="16">
        <v>584</v>
      </c>
      <c r="DH10" s="16">
        <v>617</v>
      </c>
      <c r="DI10" s="16">
        <v>617</v>
      </c>
      <c r="DJ10" s="16">
        <v>617</v>
      </c>
      <c r="DK10" s="16">
        <v>617</v>
      </c>
      <c r="DL10" s="16">
        <v>617</v>
      </c>
      <c r="DM10" s="16">
        <v>617</v>
      </c>
      <c r="DN10" s="16">
        <v>617</v>
      </c>
      <c r="DO10" s="16">
        <v>584</v>
      </c>
      <c r="DP10" s="16">
        <v>584</v>
      </c>
      <c r="DQ10" s="16">
        <v>584</v>
      </c>
      <c r="DR10" s="16">
        <v>584</v>
      </c>
      <c r="DS10" s="16">
        <v>584</v>
      </c>
      <c r="DT10" s="16">
        <v>584</v>
      </c>
      <c r="DU10" s="16">
        <v>584</v>
      </c>
    </row>
    <row r="11" spans="1:125" outlineLevel="1">
      <c r="A11" s="2">
        <f t="shared" si="43"/>
        <v>8.3333333333333329E-2</v>
      </c>
      <c r="B11" s="4">
        <f t="shared" si="34"/>
        <v>8.3333333333333329E-2</v>
      </c>
      <c r="D11" s="39">
        <f t="shared" si="44"/>
        <v>5</v>
      </c>
      <c r="E11" s="40">
        <f t="shared" si="44"/>
        <v>0</v>
      </c>
      <c r="F11" s="40">
        <f t="shared" si="44"/>
        <v>0</v>
      </c>
      <c r="G11" s="40">
        <f>G$6</f>
        <v>0</v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>
        <f t="shared" si="35"/>
        <v>51</v>
      </c>
      <c r="AN11" s="40">
        <f t="shared" si="35"/>
        <v>0</v>
      </c>
      <c r="AO11" s="40">
        <f t="shared" si="35"/>
        <v>0</v>
      </c>
      <c r="AP11" s="40">
        <f t="shared" si="35"/>
        <v>0</v>
      </c>
      <c r="AQ11" s="40">
        <f t="shared" si="35"/>
        <v>0</v>
      </c>
      <c r="AR11" s="40">
        <f t="shared" si="35"/>
        <v>0</v>
      </c>
      <c r="AS11" s="40">
        <f t="shared" si="35"/>
        <v>0</v>
      </c>
      <c r="AT11" s="40">
        <f t="shared" si="35"/>
        <v>0</v>
      </c>
      <c r="AU11" s="40">
        <f t="shared" si="35"/>
        <v>0</v>
      </c>
      <c r="AV11" s="40">
        <f t="shared" si="35"/>
        <v>0</v>
      </c>
      <c r="AW11" s="40">
        <f t="shared" si="35"/>
        <v>0</v>
      </c>
      <c r="AX11" s="40">
        <f t="shared" si="35"/>
        <v>0</v>
      </c>
      <c r="AY11" s="41">
        <f t="shared" si="36"/>
        <v>0</v>
      </c>
      <c r="AZ11" s="34"/>
      <c r="BA11" s="9">
        <f t="shared" si="37"/>
        <v>34.785882352941172</v>
      </c>
      <c r="BB11" s="6">
        <f>IF(BD11&lt;=0,0,Agents($A$1,$B$1,BD11*2,BE11))</f>
        <v>19</v>
      </c>
      <c r="BC11" s="9">
        <f t="shared" si="45"/>
        <v>249.19408166089951</v>
      </c>
      <c r="BD11" s="9">
        <f t="shared" si="38"/>
        <v>20.803571428571427</v>
      </c>
      <c r="BE11" s="9">
        <f t="shared" si="39"/>
        <v>1560</v>
      </c>
      <c r="BF11" s="17">
        <f t="shared" si="40"/>
        <v>1</v>
      </c>
      <c r="BG11" s="17">
        <f t="shared" si="41"/>
        <v>0.5183069109916687</v>
      </c>
      <c r="BH11" s="21">
        <f t="shared" si="42"/>
        <v>1.8308359133126932</v>
      </c>
      <c r="BI11" s="22">
        <f t="shared" si="32"/>
        <v>5.8823529411764719E-2</v>
      </c>
      <c r="BJ11" s="30">
        <f t="shared" si="33"/>
        <v>34200</v>
      </c>
      <c r="BO11" s="11">
        <v>8.3333333333333329E-2</v>
      </c>
      <c r="BP11" s="16">
        <v>5.75</v>
      </c>
      <c r="BQ11" s="16">
        <v>2.25</v>
      </c>
      <c r="BR11" s="16">
        <v>17.75</v>
      </c>
      <c r="BS11" s="16">
        <v>35.375</v>
      </c>
      <c r="BT11" s="16">
        <v>29.625</v>
      </c>
      <c r="BU11" s="16">
        <v>28.875</v>
      </c>
      <c r="BV11" s="16">
        <v>26</v>
      </c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S11" s="11">
        <v>8.3333333333333329E-2</v>
      </c>
      <c r="CT11" s="16">
        <v>650</v>
      </c>
      <c r="CU11" s="16">
        <v>650</v>
      </c>
      <c r="CV11" s="16">
        <v>650</v>
      </c>
      <c r="CW11" s="16">
        <v>650</v>
      </c>
      <c r="CX11" s="16">
        <v>650</v>
      </c>
      <c r="CY11" s="16">
        <v>650</v>
      </c>
      <c r="CZ11" s="16">
        <v>650</v>
      </c>
      <c r="DA11" s="16">
        <v>584</v>
      </c>
      <c r="DB11" s="16">
        <v>584</v>
      </c>
      <c r="DC11" s="16">
        <v>584</v>
      </c>
      <c r="DD11" s="16">
        <v>584</v>
      </c>
      <c r="DE11" s="16">
        <v>584</v>
      </c>
      <c r="DF11" s="16">
        <v>584</v>
      </c>
      <c r="DG11" s="16">
        <v>584</v>
      </c>
      <c r="DH11" s="16">
        <v>617</v>
      </c>
      <c r="DI11" s="16">
        <v>617</v>
      </c>
      <c r="DJ11" s="16">
        <v>617</v>
      </c>
      <c r="DK11" s="16">
        <v>617</v>
      </c>
      <c r="DL11" s="16">
        <v>617</v>
      </c>
      <c r="DM11" s="16">
        <v>617</v>
      </c>
      <c r="DN11" s="16">
        <v>617</v>
      </c>
      <c r="DO11" s="16">
        <v>584</v>
      </c>
      <c r="DP11" s="16">
        <v>584</v>
      </c>
      <c r="DQ11" s="16">
        <v>584</v>
      </c>
      <c r="DR11" s="16">
        <v>584</v>
      </c>
      <c r="DS11" s="16">
        <v>584</v>
      </c>
      <c r="DT11" s="16">
        <v>584</v>
      </c>
      <c r="DU11" s="16">
        <v>584</v>
      </c>
    </row>
    <row r="12" spans="1:125" outlineLevel="1">
      <c r="A12" s="2">
        <f t="shared" si="43"/>
        <v>0.10416666666666666</v>
      </c>
      <c r="B12" s="4">
        <f t="shared" si="34"/>
        <v>0.10416666666666666</v>
      </c>
      <c r="D12" s="39">
        <f t="shared" si="44"/>
        <v>5</v>
      </c>
      <c r="E12" s="40">
        <f t="shared" si="44"/>
        <v>0</v>
      </c>
      <c r="F12" s="40">
        <f t="shared" si="44"/>
        <v>0</v>
      </c>
      <c r="G12" s="40">
        <f t="shared" si="44"/>
        <v>0</v>
      </c>
      <c r="H12" s="40">
        <f>H$6</f>
        <v>0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>
        <f t="shared" si="35"/>
        <v>0</v>
      </c>
      <c r="AO12" s="40">
        <f t="shared" si="35"/>
        <v>0</v>
      </c>
      <c r="AP12" s="40">
        <f t="shared" si="35"/>
        <v>0</v>
      </c>
      <c r="AQ12" s="40">
        <f t="shared" si="35"/>
        <v>0</v>
      </c>
      <c r="AR12" s="40">
        <f t="shared" si="35"/>
        <v>0</v>
      </c>
      <c r="AS12" s="40">
        <f t="shared" si="35"/>
        <v>0</v>
      </c>
      <c r="AT12" s="40">
        <f t="shared" si="35"/>
        <v>0</v>
      </c>
      <c r="AU12" s="40">
        <f t="shared" si="35"/>
        <v>0</v>
      </c>
      <c r="AV12" s="40">
        <f t="shared" si="35"/>
        <v>0</v>
      </c>
      <c r="AW12" s="40">
        <f t="shared" si="35"/>
        <v>0</v>
      </c>
      <c r="AX12" s="40">
        <f t="shared" si="35"/>
        <v>0</v>
      </c>
      <c r="AY12" s="41">
        <f t="shared" si="36"/>
        <v>0</v>
      </c>
      <c r="AZ12" s="34"/>
      <c r="BA12" s="9">
        <f t="shared" si="37"/>
        <v>3.1058823529411761</v>
      </c>
      <c r="BB12" s="6">
        <f>IF(BD12&lt;=0,0,Agents($A$1,$B$1,BD12*2,BE12))</f>
        <v>17</v>
      </c>
      <c r="BC12" s="9">
        <f t="shared" si="45"/>
        <v>193.04650519031142</v>
      </c>
      <c r="BD12" s="9">
        <f t="shared" si="38"/>
        <v>18.982142857142858</v>
      </c>
      <c r="BE12" s="9">
        <f t="shared" si="39"/>
        <v>1560</v>
      </c>
      <c r="BF12" s="17">
        <f t="shared" si="40"/>
        <v>0</v>
      </c>
      <c r="BG12" s="17">
        <f t="shared" si="41"/>
        <v>1</v>
      </c>
      <c r="BH12" s="21">
        <f t="shared" si="42"/>
        <v>0.18269896193771623</v>
      </c>
      <c r="BI12" s="22">
        <f t="shared" si="32"/>
        <v>5.2521008403361357E-3</v>
      </c>
      <c r="BJ12" s="30">
        <f t="shared" si="33"/>
        <v>30600</v>
      </c>
      <c r="BO12" s="11">
        <v>0.10416666666666667</v>
      </c>
      <c r="BP12" s="16">
        <v>6.75</v>
      </c>
      <c r="BQ12" s="16">
        <v>2.25</v>
      </c>
      <c r="BR12" s="16">
        <v>20.125</v>
      </c>
      <c r="BS12" s="16">
        <v>26</v>
      </c>
      <c r="BT12" s="16">
        <v>30.375</v>
      </c>
      <c r="BU12" s="16">
        <v>25.375</v>
      </c>
      <c r="BV12" s="16">
        <v>22</v>
      </c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S12" s="11">
        <v>0.10416666666666667</v>
      </c>
      <c r="CT12" s="16">
        <v>650</v>
      </c>
      <c r="CU12" s="16">
        <v>650</v>
      </c>
      <c r="CV12" s="16">
        <v>650</v>
      </c>
      <c r="CW12" s="16">
        <v>650</v>
      </c>
      <c r="CX12" s="16">
        <v>650</v>
      </c>
      <c r="CY12" s="16">
        <v>650</v>
      </c>
      <c r="CZ12" s="16">
        <v>650</v>
      </c>
      <c r="DA12" s="16">
        <v>584</v>
      </c>
      <c r="DB12" s="16">
        <v>584</v>
      </c>
      <c r="DC12" s="16">
        <v>584</v>
      </c>
      <c r="DD12" s="16">
        <v>584</v>
      </c>
      <c r="DE12" s="16">
        <v>584</v>
      </c>
      <c r="DF12" s="16">
        <v>584</v>
      </c>
      <c r="DG12" s="16">
        <v>584</v>
      </c>
      <c r="DH12" s="16">
        <v>617</v>
      </c>
      <c r="DI12" s="16">
        <v>617</v>
      </c>
      <c r="DJ12" s="16">
        <v>617</v>
      </c>
      <c r="DK12" s="16">
        <v>617</v>
      </c>
      <c r="DL12" s="16">
        <v>617</v>
      </c>
      <c r="DM12" s="16">
        <v>617</v>
      </c>
      <c r="DN12" s="16">
        <v>617</v>
      </c>
      <c r="DO12" s="16">
        <v>584</v>
      </c>
      <c r="DP12" s="16">
        <v>584</v>
      </c>
      <c r="DQ12" s="16">
        <v>584</v>
      </c>
      <c r="DR12" s="16">
        <v>584</v>
      </c>
      <c r="DS12" s="16">
        <v>584</v>
      </c>
      <c r="DT12" s="16">
        <v>584</v>
      </c>
      <c r="DU12" s="16">
        <v>584</v>
      </c>
    </row>
    <row r="13" spans="1:125" outlineLevel="1">
      <c r="A13" s="2">
        <f t="shared" si="43"/>
        <v>0.12499999999999999</v>
      </c>
      <c r="B13" s="4">
        <f t="shared" si="34"/>
        <v>0.12499999999999999</v>
      </c>
      <c r="D13" s="39">
        <f t="shared" si="44"/>
        <v>5</v>
      </c>
      <c r="E13" s="40">
        <f t="shared" si="44"/>
        <v>0</v>
      </c>
      <c r="F13" s="40">
        <f t="shared" si="44"/>
        <v>0</v>
      </c>
      <c r="G13" s="40">
        <f t="shared" si="44"/>
        <v>0</v>
      </c>
      <c r="H13" s="40">
        <f t="shared" si="44"/>
        <v>0</v>
      </c>
      <c r="I13" s="40">
        <f>I$6</f>
        <v>0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>
        <f t="shared" si="35"/>
        <v>0</v>
      </c>
      <c r="AP13" s="40">
        <f t="shared" si="35"/>
        <v>0</v>
      </c>
      <c r="AQ13" s="40">
        <f t="shared" si="35"/>
        <v>0</v>
      </c>
      <c r="AR13" s="40">
        <f t="shared" si="35"/>
        <v>0</v>
      </c>
      <c r="AS13" s="40">
        <f t="shared" si="35"/>
        <v>0</v>
      </c>
      <c r="AT13" s="40">
        <f t="shared" si="35"/>
        <v>0</v>
      </c>
      <c r="AU13" s="40">
        <f t="shared" si="35"/>
        <v>0</v>
      </c>
      <c r="AV13" s="40">
        <f t="shared" si="35"/>
        <v>0</v>
      </c>
      <c r="AW13" s="40">
        <f t="shared" si="35"/>
        <v>0</v>
      </c>
      <c r="AX13" s="40">
        <f t="shared" si="35"/>
        <v>0</v>
      </c>
      <c r="AY13" s="41">
        <f t="shared" si="36"/>
        <v>0</v>
      </c>
      <c r="AZ13" s="34"/>
      <c r="BA13" s="9">
        <f t="shared" si="37"/>
        <v>3.1058823529411761</v>
      </c>
      <c r="BB13" s="6">
        <f>IF(BD13&lt;=0,0,Agents($A$1,$B$1,BD13*2,BE13))</f>
        <v>11</v>
      </c>
      <c r="BC13" s="9">
        <f>POWER((BA13-BB13),2)</f>
        <v>62.317093425605542</v>
      </c>
      <c r="BD13" s="9">
        <f t="shared" si="38"/>
        <v>12.392857142857142</v>
      </c>
      <c r="BE13" s="9">
        <f t="shared" si="39"/>
        <v>1560</v>
      </c>
      <c r="BF13" s="17">
        <f>SLA(BA13,$B$1,BD13*2,BE13)</f>
        <v>0</v>
      </c>
      <c r="BG13" s="17">
        <f t="shared" si="41"/>
        <v>1</v>
      </c>
      <c r="BH13" s="21">
        <f t="shared" si="42"/>
        <v>0.28235294117647053</v>
      </c>
      <c r="BI13" s="22">
        <f t="shared" si="32"/>
        <v>5.2521008403361357E-3</v>
      </c>
      <c r="BJ13" s="30">
        <f t="shared" si="33"/>
        <v>19800</v>
      </c>
      <c r="BO13" s="11">
        <v>0.125</v>
      </c>
      <c r="BP13" s="16">
        <v>5</v>
      </c>
      <c r="BQ13" s="16">
        <v>0.875</v>
      </c>
      <c r="BR13" s="16">
        <v>15</v>
      </c>
      <c r="BS13" s="16">
        <v>15.375</v>
      </c>
      <c r="BT13" s="16">
        <v>18.375</v>
      </c>
      <c r="BU13" s="16">
        <v>18</v>
      </c>
      <c r="BV13" s="16">
        <v>14.125</v>
      </c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S13" s="11">
        <v>0.125</v>
      </c>
      <c r="CT13" s="16">
        <v>650</v>
      </c>
      <c r="CU13" s="16">
        <v>650</v>
      </c>
      <c r="CV13" s="16">
        <v>650</v>
      </c>
      <c r="CW13" s="16">
        <v>650</v>
      </c>
      <c r="CX13" s="16">
        <v>650</v>
      </c>
      <c r="CY13" s="16">
        <v>650</v>
      </c>
      <c r="CZ13" s="16">
        <v>650</v>
      </c>
      <c r="DA13" s="16">
        <v>584</v>
      </c>
      <c r="DB13" s="16">
        <v>584</v>
      </c>
      <c r="DC13" s="16">
        <v>584</v>
      </c>
      <c r="DD13" s="16">
        <v>584</v>
      </c>
      <c r="DE13" s="16">
        <v>584</v>
      </c>
      <c r="DF13" s="16">
        <v>584</v>
      </c>
      <c r="DG13" s="16">
        <v>584</v>
      </c>
      <c r="DH13" s="16">
        <v>617</v>
      </c>
      <c r="DI13" s="16">
        <v>617</v>
      </c>
      <c r="DJ13" s="16">
        <v>617</v>
      </c>
      <c r="DK13" s="16">
        <v>617</v>
      </c>
      <c r="DL13" s="16">
        <v>617</v>
      </c>
      <c r="DM13" s="16">
        <v>617</v>
      </c>
      <c r="DN13" s="16">
        <v>617</v>
      </c>
      <c r="DO13" s="16">
        <v>584</v>
      </c>
      <c r="DP13" s="16">
        <v>584</v>
      </c>
      <c r="DQ13" s="16">
        <v>584</v>
      </c>
      <c r="DR13" s="16">
        <v>584</v>
      </c>
      <c r="DS13" s="16">
        <v>584</v>
      </c>
      <c r="DT13" s="16">
        <v>584</v>
      </c>
      <c r="DU13" s="16">
        <v>584</v>
      </c>
    </row>
    <row r="14" spans="1:125" outlineLevel="1">
      <c r="A14" s="2">
        <f t="shared" si="43"/>
        <v>0.14583333333333331</v>
      </c>
      <c r="B14" s="4">
        <f t="shared" si="34"/>
        <v>0.14583333333333331</v>
      </c>
      <c r="D14" s="39">
        <f t="shared" si="44"/>
        <v>5</v>
      </c>
      <c r="E14" s="40">
        <f t="shared" si="44"/>
        <v>0</v>
      </c>
      <c r="F14" s="40">
        <f t="shared" si="44"/>
        <v>0</v>
      </c>
      <c r="G14" s="40">
        <f t="shared" si="44"/>
        <v>0</v>
      </c>
      <c r="H14" s="40">
        <f t="shared" si="44"/>
        <v>0</v>
      </c>
      <c r="I14" s="40">
        <f t="shared" si="44"/>
        <v>0</v>
      </c>
      <c r="J14" s="40">
        <f>J$6</f>
        <v>0</v>
      </c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>
        <f t="shared" si="35"/>
        <v>0</v>
      </c>
      <c r="AQ14" s="40">
        <f t="shared" si="35"/>
        <v>0</v>
      </c>
      <c r="AR14" s="40">
        <f t="shared" si="35"/>
        <v>0</v>
      </c>
      <c r="AS14" s="40">
        <f t="shared" si="35"/>
        <v>0</v>
      </c>
      <c r="AT14" s="40">
        <f t="shared" si="35"/>
        <v>0</v>
      </c>
      <c r="AU14" s="40">
        <f t="shared" si="35"/>
        <v>0</v>
      </c>
      <c r="AV14" s="40">
        <f t="shared" si="35"/>
        <v>0</v>
      </c>
      <c r="AW14" s="40">
        <f t="shared" si="35"/>
        <v>0</v>
      </c>
      <c r="AX14" s="40">
        <f t="shared" si="35"/>
        <v>0</v>
      </c>
      <c r="AY14" s="41">
        <f t="shared" si="36"/>
        <v>0</v>
      </c>
      <c r="AZ14" s="34"/>
      <c r="BA14" s="9">
        <f t="shared" si="37"/>
        <v>3.1058823529411761</v>
      </c>
      <c r="BB14" s="6">
        <f>IF(BD14&lt;=0,0,Agents($A$1,$B$1,BD14*2,BE14))</f>
        <v>7</v>
      </c>
      <c r="BC14" s="9">
        <f t="shared" si="45"/>
        <v>15.164152249134951</v>
      </c>
      <c r="BD14" s="9">
        <f t="shared" si="38"/>
        <v>7.5178571428571432</v>
      </c>
      <c r="BE14" s="9">
        <f t="shared" si="39"/>
        <v>1560</v>
      </c>
      <c r="BF14" s="17">
        <f t="shared" si="40"/>
        <v>0</v>
      </c>
      <c r="BG14" s="17">
        <f t="shared" si="41"/>
        <v>1</v>
      </c>
      <c r="BH14" s="21">
        <f t="shared" si="42"/>
        <v>0.44369747899159656</v>
      </c>
      <c r="BI14" s="22">
        <f t="shared" si="32"/>
        <v>5.2521008403361357E-3</v>
      </c>
      <c r="BJ14" s="30">
        <f t="shared" si="33"/>
        <v>12600</v>
      </c>
      <c r="BO14" s="11">
        <v>0.14583333333333334</v>
      </c>
      <c r="BP14" s="16">
        <v>3.25</v>
      </c>
      <c r="BQ14" s="16">
        <v>2</v>
      </c>
      <c r="BR14" s="16">
        <v>8.375</v>
      </c>
      <c r="BS14" s="16">
        <v>10.375</v>
      </c>
      <c r="BT14" s="16">
        <v>9</v>
      </c>
      <c r="BU14" s="16">
        <v>12.25</v>
      </c>
      <c r="BV14" s="16">
        <v>7.375</v>
      </c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S14" s="11">
        <v>0.14583333333333334</v>
      </c>
      <c r="CT14" s="16">
        <v>650</v>
      </c>
      <c r="CU14" s="16">
        <v>650</v>
      </c>
      <c r="CV14" s="16">
        <v>650</v>
      </c>
      <c r="CW14" s="16">
        <v>650</v>
      </c>
      <c r="CX14" s="16">
        <v>650</v>
      </c>
      <c r="CY14" s="16">
        <v>650</v>
      </c>
      <c r="CZ14" s="16">
        <v>650</v>
      </c>
      <c r="DA14" s="16">
        <v>584</v>
      </c>
      <c r="DB14" s="16">
        <v>584</v>
      </c>
      <c r="DC14" s="16">
        <v>584</v>
      </c>
      <c r="DD14" s="16">
        <v>584</v>
      </c>
      <c r="DE14" s="16">
        <v>584</v>
      </c>
      <c r="DF14" s="16">
        <v>584</v>
      </c>
      <c r="DG14" s="16">
        <v>584</v>
      </c>
      <c r="DH14" s="16">
        <v>617</v>
      </c>
      <c r="DI14" s="16">
        <v>617</v>
      </c>
      <c r="DJ14" s="16">
        <v>617</v>
      </c>
      <c r="DK14" s="16">
        <v>617</v>
      </c>
      <c r="DL14" s="16">
        <v>617</v>
      </c>
      <c r="DM14" s="16">
        <v>617</v>
      </c>
      <c r="DN14" s="16">
        <v>617</v>
      </c>
      <c r="DO14" s="16">
        <v>584</v>
      </c>
      <c r="DP14" s="16">
        <v>584</v>
      </c>
      <c r="DQ14" s="16">
        <v>584</v>
      </c>
      <c r="DR14" s="16">
        <v>584</v>
      </c>
      <c r="DS14" s="16">
        <v>584</v>
      </c>
      <c r="DT14" s="16">
        <v>584</v>
      </c>
      <c r="DU14" s="16">
        <v>584</v>
      </c>
    </row>
    <row r="15" spans="1:125" outlineLevel="1">
      <c r="A15" s="2">
        <f t="shared" si="43"/>
        <v>0.16666666666666666</v>
      </c>
      <c r="B15" s="4">
        <f t="shared" si="34"/>
        <v>0.16666666666666666</v>
      </c>
      <c r="D15" s="39">
        <f t="shared" si="44"/>
        <v>5</v>
      </c>
      <c r="E15" s="40">
        <f t="shared" si="44"/>
        <v>0</v>
      </c>
      <c r="F15" s="40">
        <f t="shared" si="44"/>
        <v>0</v>
      </c>
      <c r="G15" s="40">
        <f t="shared" si="44"/>
        <v>0</v>
      </c>
      <c r="H15" s="40">
        <f t="shared" si="44"/>
        <v>0</v>
      </c>
      <c r="I15" s="40">
        <f t="shared" si="44"/>
        <v>0</v>
      </c>
      <c r="J15" s="40">
        <f t="shared" si="44"/>
        <v>0</v>
      </c>
      <c r="K15" s="40">
        <f>K$6</f>
        <v>0</v>
      </c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>
        <f t="shared" si="35"/>
        <v>0</v>
      </c>
      <c r="AR15" s="40">
        <f t="shared" si="35"/>
        <v>0</v>
      </c>
      <c r="AS15" s="40">
        <f t="shared" si="35"/>
        <v>0</v>
      </c>
      <c r="AT15" s="40">
        <f t="shared" si="35"/>
        <v>0</v>
      </c>
      <c r="AU15" s="40">
        <f t="shared" si="35"/>
        <v>0</v>
      </c>
      <c r="AV15" s="40">
        <f t="shared" si="35"/>
        <v>0</v>
      </c>
      <c r="AW15" s="40">
        <f t="shared" si="35"/>
        <v>0</v>
      </c>
      <c r="AX15" s="40">
        <f t="shared" si="35"/>
        <v>0</v>
      </c>
      <c r="AY15" s="41">
        <f t="shared" si="36"/>
        <v>0</v>
      </c>
      <c r="AZ15" s="34"/>
      <c r="BA15" s="9">
        <f t="shared" si="37"/>
        <v>3.1058823529411761</v>
      </c>
      <c r="BB15" s="6">
        <f>IF(BD15&lt;=0,0,Agents($A$1,$B$1,BD15*2,BE15))</f>
        <v>4</v>
      </c>
      <c r="BC15" s="9">
        <f t="shared" si="45"/>
        <v>0.79944636678200764</v>
      </c>
      <c r="BD15" s="9">
        <f t="shared" si="38"/>
        <v>3.9642857142857144</v>
      </c>
      <c r="BE15" s="9">
        <f t="shared" si="39"/>
        <v>1560</v>
      </c>
      <c r="BF15" s="17">
        <f t="shared" si="40"/>
        <v>0</v>
      </c>
      <c r="BG15" s="17">
        <f t="shared" si="41"/>
        <v>1</v>
      </c>
      <c r="BH15" s="21">
        <f t="shared" si="42"/>
        <v>0.77647058823529402</v>
      </c>
      <c r="BI15" s="22">
        <f t="shared" si="32"/>
        <v>5.2521008403361357E-3</v>
      </c>
      <c r="BJ15" s="30">
        <f>BB15*1800</f>
        <v>7200</v>
      </c>
      <c r="BO15" s="11">
        <v>0.16666666666666666</v>
      </c>
      <c r="BP15" s="16">
        <v>0.75</v>
      </c>
      <c r="BQ15" s="16">
        <v>1.875</v>
      </c>
      <c r="BR15" s="16">
        <v>5.5</v>
      </c>
      <c r="BS15" s="16">
        <v>4.125</v>
      </c>
      <c r="BT15" s="16">
        <v>5.75</v>
      </c>
      <c r="BU15" s="16">
        <v>4.625</v>
      </c>
      <c r="BV15" s="16">
        <v>5.125</v>
      </c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S15" s="11">
        <v>0.16666666666666666</v>
      </c>
      <c r="CT15" s="16">
        <v>650</v>
      </c>
      <c r="CU15" s="16">
        <v>650</v>
      </c>
      <c r="CV15" s="16">
        <v>650</v>
      </c>
      <c r="CW15" s="16">
        <v>650</v>
      </c>
      <c r="CX15" s="16">
        <v>650</v>
      </c>
      <c r="CY15" s="16">
        <v>650</v>
      </c>
      <c r="CZ15" s="16">
        <v>650</v>
      </c>
      <c r="DA15" s="16">
        <v>584</v>
      </c>
      <c r="DB15" s="16">
        <v>584</v>
      </c>
      <c r="DC15" s="16">
        <v>584</v>
      </c>
      <c r="DD15" s="16">
        <v>584</v>
      </c>
      <c r="DE15" s="16">
        <v>584</v>
      </c>
      <c r="DF15" s="16">
        <v>584</v>
      </c>
      <c r="DG15" s="16">
        <v>584</v>
      </c>
      <c r="DH15" s="16">
        <v>617</v>
      </c>
      <c r="DI15" s="16">
        <v>617</v>
      </c>
      <c r="DJ15" s="16">
        <v>617</v>
      </c>
      <c r="DK15" s="16">
        <v>617</v>
      </c>
      <c r="DL15" s="16">
        <v>617</v>
      </c>
      <c r="DM15" s="16">
        <v>617</v>
      </c>
      <c r="DN15" s="16">
        <v>617</v>
      </c>
      <c r="DO15" s="16">
        <v>584</v>
      </c>
      <c r="DP15" s="16">
        <v>584</v>
      </c>
      <c r="DQ15" s="16">
        <v>584</v>
      </c>
      <c r="DR15" s="16">
        <v>584</v>
      </c>
      <c r="DS15" s="16">
        <v>584</v>
      </c>
      <c r="DT15" s="16">
        <v>584</v>
      </c>
      <c r="DU15" s="16">
        <v>584</v>
      </c>
    </row>
    <row r="16" spans="1:125" outlineLevel="1">
      <c r="A16" s="2">
        <f t="shared" si="43"/>
        <v>0.1875</v>
      </c>
      <c r="B16" s="4">
        <f t="shared" si="34"/>
        <v>0.1875</v>
      </c>
      <c r="D16" s="39">
        <f t="shared" si="44"/>
        <v>5</v>
      </c>
      <c r="E16" s="40">
        <f t="shared" si="44"/>
        <v>0</v>
      </c>
      <c r="F16" s="40">
        <f t="shared" si="44"/>
        <v>0</v>
      </c>
      <c r="G16" s="40">
        <f t="shared" si="44"/>
        <v>0</v>
      </c>
      <c r="H16" s="40">
        <f t="shared" si="44"/>
        <v>0</v>
      </c>
      <c r="I16" s="40">
        <f t="shared" si="44"/>
        <v>0</v>
      </c>
      <c r="J16" s="40">
        <f t="shared" si="44"/>
        <v>0</v>
      </c>
      <c r="K16" s="40">
        <f t="shared" si="44"/>
        <v>0</v>
      </c>
      <c r="L16" s="40">
        <f>L$6</f>
        <v>0</v>
      </c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>
        <f t="shared" si="35"/>
        <v>0</v>
      </c>
      <c r="AS16" s="40">
        <f t="shared" si="35"/>
        <v>0</v>
      </c>
      <c r="AT16" s="40">
        <f t="shared" si="35"/>
        <v>0</v>
      </c>
      <c r="AU16" s="40">
        <f t="shared" si="35"/>
        <v>0</v>
      </c>
      <c r="AV16" s="40">
        <f t="shared" si="35"/>
        <v>0</v>
      </c>
      <c r="AW16" s="40">
        <f t="shared" si="35"/>
        <v>0</v>
      </c>
      <c r="AX16" s="40">
        <f t="shared" si="35"/>
        <v>0</v>
      </c>
      <c r="AY16" s="41">
        <f t="shared" si="36"/>
        <v>0</v>
      </c>
      <c r="AZ16" s="34"/>
      <c r="BA16" s="9">
        <f t="shared" si="37"/>
        <v>3.1058823529411761</v>
      </c>
      <c r="BB16" s="6">
        <f>IF(BD16&lt;=0,0,Agents($A$1,$B$1,BD16*2,BE16))</f>
        <v>4</v>
      </c>
      <c r="BC16" s="9">
        <f t="shared" si="45"/>
        <v>0.79944636678200764</v>
      </c>
      <c r="BD16" s="9">
        <f t="shared" si="38"/>
        <v>3.5</v>
      </c>
      <c r="BE16" s="9">
        <f t="shared" si="39"/>
        <v>1560</v>
      </c>
      <c r="BF16" s="17">
        <f t="shared" si="40"/>
        <v>0.74887639284133911</v>
      </c>
      <c r="BG16" s="17">
        <f t="shared" si="41"/>
        <v>0.97664141654968262</v>
      </c>
      <c r="BH16" s="21">
        <f t="shared" si="42"/>
        <v>0.77647058823529402</v>
      </c>
      <c r="BI16" s="22">
        <f t="shared" si="32"/>
        <v>5.2521008403361357E-3</v>
      </c>
      <c r="BJ16" s="30">
        <f t="shared" ref="BJ16:BJ54" si="46">BB16*1800</f>
        <v>7200</v>
      </c>
      <c r="BO16" s="11">
        <v>0.1875</v>
      </c>
      <c r="BP16" s="16">
        <v>0.875</v>
      </c>
      <c r="BQ16" s="16">
        <v>1</v>
      </c>
      <c r="BR16" s="16">
        <v>3.875</v>
      </c>
      <c r="BS16" s="16">
        <v>4.875</v>
      </c>
      <c r="BT16" s="16">
        <v>4.5</v>
      </c>
      <c r="BU16" s="16">
        <v>6.375</v>
      </c>
      <c r="BV16" s="16">
        <v>3</v>
      </c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S16" s="11">
        <v>0.1875</v>
      </c>
      <c r="CT16" s="16">
        <v>650</v>
      </c>
      <c r="CU16" s="16">
        <v>650</v>
      </c>
      <c r="CV16" s="16">
        <v>650</v>
      </c>
      <c r="CW16" s="16">
        <v>650</v>
      </c>
      <c r="CX16" s="16">
        <v>650</v>
      </c>
      <c r="CY16" s="16">
        <v>650</v>
      </c>
      <c r="CZ16" s="16">
        <v>650</v>
      </c>
      <c r="DA16" s="16">
        <v>584</v>
      </c>
      <c r="DB16" s="16">
        <v>584</v>
      </c>
      <c r="DC16" s="16">
        <v>584</v>
      </c>
      <c r="DD16" s="16">
        <v>584</v>
      </c>
      <c r="DE16" s="16">
        <v>584</v>
      </c>
      <c r="DF16" s="16">
        <v>584</v>
      </c>
      <c r="DG16" s="16">
        <v>584</v>
      </c>
      <c r="DH16" s="16">
        <v>617</v>
      </c>
      <c r="DI16" s="16">
        <v>617</v>
      </c>
      <c r="DJ16" s="16">
        <v>617</v>
      </c>
      <c r="DK16" s="16">
        <v>617</v>
      </c>
      <c r="DL16" s="16">
        <v>617</v>
      </c>
      <c r="DM16" s="16">
        <v>617</v>
      </c>
      <c r="DN16" s="16">
        <v>617</v>
      </c>
      <c r="DO16" s="16">
        <v>584</v>
      </c>
      <c r="DP16" s="16">
        <v>584</v>
      </c>
      <c r="DQ16" s="16">
        <v>584</v>
      </c>
      <c r="DR16" s="16">
        <v>584</v>
      </c>
      <c r="DS16" s="16">
        <v>584</v>
      </c>
      <c r="DT16" s="16">
        <v>584</v>
      </c>
      <c r="DU16" s="16">
        <v>584</v>
      </c>
    </row>
    <row r="17" spans="1:125" outlineLevel="1">
      <c r="A17" s="2">
        <f t="shared" si="43"/>
        <v>0.20833333333333334</v>
      </c>
      <c r="B17" s="4">
        <f t="shared" si="34"/>
        <v>0.20833333333333334</v>
      </c>
      <c r="D17" s="39">
        <f t="shared" si="44"/>
        <v>5</v>
      </c>
      <c r="E17" s="40">
        <f t="shared" si="44"/>
        <v>0</v>
      </c>
      <c r="F17" s="40">
        <f t="shared" si="44"/>
        <v>0</v>
      </c>
      <c r="G17" s="40">
        <f t="shared" si="44"/>
        <v>0</v>
      </c>
      <c r="H17" s="40">
        <f t="shared" si="44"/>
        <v>0</v>
      </c>
      <c r="I17" s="40">
        <f t="shared" si="44"/>
        <v>0</v>
      </c>
      <c r="J17" s="40">
        <f t="shared" si="44"/>
        <v>0</v>
      </c>
      <c r="K17" s="40">
        <f t="shared" si="44"/>
        <v>0</v>
      </c>
      <c r="L17" s="40">
        <f t="shared" si="44"/>
        <v>0</v>
      </c>
      <c r="M17" s="40">
        <f>M$6</f>
        <v>0</v>
      </c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>
        <f t="shared" si="35"/>
        <v>0</v>
      </c>
      <c r="AT17" s="40">
        <f t="shared" si="35"/>
        <v>0</v>
      </c>
      <c r="AU17" s="40">
        <f t="shared" si="35"/>
        <v>0</v>
      </c>
      <c r="AV17" s="40">
        <f t="shared" si="35"/>
        <v>0</v>
      </c>
      <c r="AW17" s="40">
        <f t="shared" si="35"/>
        <v>0</v>
      </c>
      <c r="AX17" s="40">
        <f t="shared" si="35"/>
        <v>0</v>
      </c>
      <c r="AY17" s="41">
        <f t="shared" si="36"/>
        <v>0</v>
      </c>
      <c r="AZ17" s="34"/>
      <c r="BA17" s="9">
        <f t="shared" si="37"/>
        <v>3.1058823529411761</v>
      </c>
      <c r="BB17" s="6">
        <f>IF(BD17&lt;=0,0,Agents($A$1,$B$1,BD17*2,BE17))</f>
        <v>3</v>
      </c>
      <c r="BC17" s="9">
        <f t="shared" si="45"/>
        <v>1.1211072664359781E-2</v>
      </c>
      <c r="BD17" s="9">
        <f t="shared" si="38"/>
        <v>2.9821428571428572</v>
      </c>
      <c r="BE17" s="9">
        <f t="shared" si="39"/>
        <v>1560</v>
      </c>
      <c r="BF17" s="17">
        <f t="shared" si="40"/>
        <v>0.99995297193527222</v>
      </c>
      <c r="BG17" s="17">
        <f t="shared" si="41"/>
        <v>0.83213835954666138</v>
      </c>
      <c r="BH17" s="21">
        <f t="shared" si="42"/>
        <v>1.0352941176470587</v>
      </c>
      <c r="BI17" s="22">
        <f t="shared" si="32"/>
        <v>5.2521008403361357E-3</v>
      </c>
      <c r="BJ17" s="30">
        <f t="shared" si="46"/>
        <v>5400</v>
      </c>
      <c r="BO17" s="11">
        <v>0.20833333333333334</v>
      </c>
      <c r="BP17" s="16">
        <v>1.375</v>
      </c>
      <c r="BQ17" s="16">
        <v>1.25</v>
      </c>
      <c r="BR17" s="16">
        <v>3.75</v>
      </c>
      <c r="BS17" s="16">
        <v>4.125</v>
      </c>
      <c r="BT17" s="16">
        <v>4.5</v>
      </c>
      <c r="BU17" s="16">
        <v>3</v>
      </c>
      <c r="BV17" s="16">
        <v>2.875</v>
      </c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S17" s="11">
        <v>0.20833333333333334</v>
      </c>
      <c r="CT17" s="16">
        <v>650</v>
      </c>
      <c r="CU17" s="16">
        <v>650</v>
      </c>
      <c r="CV17" s="16">
        <v>650</v>
      </c>
      <c r="CW17" s="16">
        <v>650</v>
      </c>
      <c r="CX17" s="16">
        <v>650</v>
      </c>
      <c r="CY17" s="16">
        <v>650</v>
      </c>
      <c r="CZ17" s="16">
        <v>650</v>
      </c>
      <c r="DA17" s="16">
        <v>584</v>
      </c>
      <c r="DB17" s="16">
        <v>584</v>
      </c>
      <c r="DC17" s="16">
        <v>584</v>
      </c>
      <c r="DD17" s="16">
        <v>584</v>
      </c>
      <c r="DE17" s="16">
        <v>584</v>
      </c>
      <c r="DF17" s="16">
        <v>584</v>
      </c>
      <c r="DG17" s="16">
        <v>584</v>
      </c>
      <c r="DH17" s="16">
        <v>617</v>
      </c>
      <c r="DI17" s="16">
        <v>617</v>
      </c>
      <c r="DJ17" s="16">
        <v>617</v>
      </c>
      <c r="DK17" s="16">
        <v>617</v>
      </c>
      <c r="DL17" s="16">
        <v>617</v>
      </c>
      <c r="DM17" s="16">
        <v>617</v>
      </c>
      <c r="DN17" s="16">
        <v>617</v>
      </c>
      <c r="DO17" s="16">
        <v>584</v>
      </c>
      <c r="DP17" s="16">
        <v>584</v>
      </c>
      <c r="DQ17" s="16">
        <v>584</v>
      </c>
      <c r="DR17" s="16">
        <v>584</v>
      </c>
      <c r="DS17" s="16">
        <v>584</v>
      </c>
      <c r="DT17" s="16">
        <v>584</v>
      </c>
      <c r="DU17" s="16">
        <v>584</v>
      </c>
    </row>
    <row r="18" spans="1:125" outlineLevel="1">
      <c r="A18" s="2">
        <f t="shared" si="43"/>
        <v>0.22916666666666669</v>
      </c>
      <c r="B18" s="4">
        <f t="shared" si="34"/>
        <v>0.22916666666666669</v>
      </c>
      <c r="D18" s="39">
        <f t="shared" si="44"/>
        <v>5</v>
      </c>
      <c r="E18" s="40">
        <f t="shared" si="44"/>
        <v>0</v>
      </c>
      <c r="F18" s="40">
        <f t="shared" si="44"/>
        <v>0</v>
      </c>
      <c r="G18" s="40">
        <f t="shared" si="44"/>
        <v>0</v>
      </c>
      <c r="H18" s="40">
        <f t="shared" si="44"/>
        <v>0</v>
      </c>
      <c r="I18" s="40">
        <f t="shared" si="44"/>
        <v>0</v>
      </c>
      <c r="J18" s="40">
        <f t="shared" si="44"/>
        <v>0</v>
      </c>
      <c r="K18" s="40">
        <f t="shared" si="44"/>
        <v>0</v>
      </c>
      <c r="L18" s="40">
        <f t="shared" si="44"/>
        <v>0</v>
      </c>
      <c r="M18" s="40">
        <f t="shared" si="44"/>
        <v>0</v>
      </c>
      <c r="N18" s="40">
        <f>N$6</f>
        <v>0</v>
      </c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>
        <f t="shared" si="35"/>
        <v>0</v>
      </c>
      <c r="AU18" s="40">
        <f t="shared" si="35"/>
        <v>0</v>
      </c>
      <c r="AV18" s="40">
        <f t="shared" si="35"/>
        <v>0</v>
      </c>
      <c r="AW18" s="40">
        <f t="shared" si="35"/>
        <v>0</v>
      </c>
      <c r="AX18" s="40">
        <f t="shared" si="35"/>
        <v>0</v>
      </c>
      <c r="AY18" s="41">
        <f t="shared" si="36"/>
        <v>0</v>
      </c>
      <c r="AZ18" s="34"/>
      <c r="BA18" s="9">
        <f t="shared" si="37"/>
        <v>3.1058823529411761</v>
      </c>
      <c r="BB18" s="6">
        <f>IF(BD18&lt;=0,0,Agents($A$1,$B$1,BD18*2,BE18))</f>
        <v>3</v>
      </c>
      <c r="BC18" s="9">
        <f t="shared" si="45"/>
        <v>1.1211072664359781E-2</v>
      </c>
      <c r="BD18" s="9">
        <f t="shared" si="38"/>
        <v>2.875</v>
      </c>
      <c r="BE18" s="9">
        <f t="shared" si="39"/>
        <v>1560</v>
      </c>
      <c r="BF18" s="17">
        <f t="shared" si="40"/>
        <v>0.99999207258224487</v>
      </c>
      <c r="BG18" s="17">
        <f t="shared" si="41"/>
        <v>0.80224120616912842</v>
      </c>
      <c r="BH18" s="21">
        <f t="shared" si="42"/>
        <v>1.0352941176470587</v>
      </c>
      <c r="BI18" s="22">
        <f t="shared" si="32"/>
        <v>5.2521008403361357E-3</v>
      </c>
      <c r="BJ18" s="30">
        <f t="shared" si="46"/>
        <v>5400</v>
      </c>
      <c r="BO18" s="11">
        <v>0.22916666666666666</v>
      </c>
      <c r="BP18" s="16">
        <v>0.875</v>
      </c>
      <c r="BQ18" s="16">
        <v>0.875</v>
      </c>
      <c r="BR18" s="16">
        <v>4</v>
      </c>
      <c r="BS18" s="16">
        <v>4</v>
      </c>
      <c r="BT18" s="16">
        <v>4.875</v>
      </c>
      <c r="BU18" s="16">
        <v>3</v>
      </c>
      <c r="BV18" s="16">
        <v>2.5</v>
      </c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S18" s="11">
        <v>0.22916666666666666</v>
      </c>
      <c r="CT18" s="16">
        <v>650</v>
      </c>
      <c r="CU18" s="16">
        <v>650</v>
      </c>
      <c r="CV18" s="16">
        <v>650</v>
      </c>
      <c r="CW18" s="16">
        <v>650</v>
      </c>
      <c r="CX18" s="16">
        <v>650</v>
      </c>
      <c r="CY18" s="16">
        <v>650</v>
      </c>
      <c r="CZ18" s="16">
        <v>650</v>
      </c>
      <c r="DA18" s="16">
        <v>584</v>
      </c>
      <c r="DB18" s="16">
        <v>584</v>
      </c>
      <c r="DC18" s="16">
        <v>584</v>
      </c>
      <c r="DD18" s="16">
        <v>584</v>
      </c>
      <c r="DE18" s="16">
        <v>584</v>
      </c>
      <c r="DF18" s="16">
        <v>584</v>
      </c>
      <c r="DG18" s="16">
        <v>584</v>
      </c>
      <c r="DH18" s="16">
        <v>617</v>
      </c>
      <c r="DI18" s="16">
        <v>617</v>
      </c>
      <c r="DJ18" s="16">
        <v>617</v>
      </c>
      <c r="DK18" s="16">
        <v>617</v>
      </c>
      <c r="DL18" s="16">
        <v>617</v>
      </c>
      <c r="DM18" s="16">
        <v>617</v>
      </c>
      <c r="DN18" s="16">
        <v>617</v>
      </c>
      <c r="DO18" s="16">
        <v>584</v>
      </c>
      <c r="DP18" s="16">
        <v>584</v>
      </c>
      <c r="DQ18" s="16">
        <v>584</v>
      </c>
      <c r="DR18" s="16">
        <v>584</v>
      </c>
      <c r="DS18" s="16">
        <v>584</v>
      </c>
      <c r="DT18" s="16">
        <v>584</v>
      </c>
      <c r="DU18" s="16">
        <v>584</v>
      </c>
    </row>
    <row r="19" spans="1:125" outlineLevel="1">
      <c r="A19" s="2">
        <f t="shared" si="43"/>
        <v>0.25</v>
      </c>
      <c r="B19" s="4">
        <f t="shared" si="34"/>
        <v>0.25</v>
      </c>
      <c r="D19" s="39">
        <f t="shared" si="44"/>
        <v>5</v>
      </c>
      <c r="E19" s="40">
        <f t="shared" si="44"/>
        <v>0</v>
      </c>
      <c r="F19" s="40">
        <f t="shared" si="44"/>
        <v>0</v>
      </c>
      <c r="G19" s="40">
        <f t="shared" si="44"/>
        <v>0</v>
      </c>
      <c r="H19" s="40">
        <f t="shared" si="44"/>
        <v>0</v>
      </c>
      <c r="I19" s="40">
        <f t="shared" si="44"/>
        <v>0</v>
      </c>
      <c r="J19" s="40">
        <f t="shared" si="44"/>
        <v>0</v>
      </c>
      <c r="K19" s="40">
        <f t="shared" si="44"/>
        <v>0</v>
      </c>
      <c r="L19" s="40">
        <f t="shared" si="44"/>
        <v>0</v>
      </c>
      <c r="M19" s="40">
        <f t="shared" si="44"/>
        <v>0</v>
      </c>
      <c r="N19" s="40">
        <f t="shared" si="44"/>
        <v>0</v>
      </c>
      <c r="O19" s="40">
        <f>O$6</f>
        <v>0</v>
      </c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>
        <f t="shared" si="35"/>
        <v>0</v>
      </c>
      <c r="AV19" s="40">
        <f t="shared" si="35"/>
        <v>0</v>
      </c>
      <c r="AW19" s="40">
        <f t="shared" si="35"/>
        <v>0</v>
      </c>
      <c r="AX19" s="40">
        <f t="shared" si="35"/>
        <v>0</v>
      </c>
      <c r="AY19" s="41">
        <f t="shared" si="36"/>
        <v>0</v>
      </c>
      <c r="AZ19" s="34"/>
      <c r="BA19" s="9">
        <f t="shared" si="37"/>
        <v>3.1058823529411761</v>
      </c>
      <c r="BB19" s="6">
        <f>IF(BD19&lt;=0,0,Agents($A$1,$B$1,BD19*2,BE19))</f>
        <v>3</v>
      </c>
      <c r="BC19" s="9">
        <f t="shared" si="45"/>
        <v>1.1211072664359781E-2</v>
      </c>
      <c r="BD19" s="9">
        <f t="shared" si="38"/>
        <v>2.5892857142857144</v>
      </c>
      <c r="BE19" s="9">
        <f t="shared" si="39"/>
        <v>1560</v>
      </c>
      <c r="BF19" s="17">
        <f t="shared" si="40"/>
        <v>0.99999994039535522</v>
      </c>
      <c r="BG19" s="17">
        <f t="shared" si="41"/>
        <v>0.72251534461975098</v>
      </c>
      <c r="BH19" s="21">
        <f t="shared" si="42"/>
        <v>1.0352941176470587</v>
      </c>
      <c r="BI19" s="22">
        <f t="shared" si="32"/>
        <v>5.2521008403361357E-3</v>
      </c>
      <c r="BJ19" s="30">
        <f t="shared" si="46"/>
        <v>5400</v>
      </c>
      <c r="BO19" s="11">
        <v>0.25</v>
      </c>
      <c r="BP19" s="16">
        <v>0.875</v>
      </c>
      <c r="BQ19" s="16">
        <v>1.125</v>
      </c>
      <c r="BR19" s="16">
        <v>2.75</v>
      </c>
      <c r="BS19" s="16">
        <v>5.875</v>
      </c>
      <c r="BT19" s="16">
        <v>2.25</v>
      </c>
      <c r="BU19" s="16">
        <v>2</v>
      </c>
      <c r="BV19" s="16">
        <v>3.25</v>
      </c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S19" s="11">
        <v>0.25</v>
      </c>
      <c r="CT19" s="16">
        <v>650</v>
      </c>
      <c r="CU19" s="16">
        <v>650</v>
      </c>
      <c r="CV19" s="16">
        <v>650</v>
      </c>
      <c r="CW19" s="16">
        <v>650</v>
      </c>
      <c r="CX19" s="16">
        <v>650</v>
      </c>
      <c r="CY19" s="16">
        <v>650</v>
      </c>
      <c r="CZ19" s="16">
        <v>650</v>
      </c>
      <c r="DA19" s="16">
        <v>584</v>
      </c>
      <c r="DB19" s="16">
        <v>584</v>
      </c>
      <c r="DC19" s="16">
        <v>584</v>
      </c>
      <c r="DD19" s="16">
        <v>584</v>
      </c>
      <c r="DE19" s="16">
        <v>584</v>
      </c>
      <c r="DF19" s="16">
        <v>584</v>
      </c>
      <c r="DG19" s="16">
        <v>584</v>
      </c>
      <c r="DH19" s="16">
        <v>617</v>
      </c>
      <c r="DI19" s="16">
        <v>617</v>
      </c>
      <c r="DJ19" s="16">
        <v>617</v>
      </c>
      <c r="DK19" s="16">
        <v>617</v>
      </c>
      <c r="DL19" s="16">
        <v>617</v>
      </c>
      <c r="DM19" s="16">
        <v>617</v>
      </c>
      <c r="DN19" s="16">
        <v>617</v>
      </c>
      <c r="DO19" s="16">
        <v>584</v>
      </c>
      <c r="DP19" s="16">
        <v>584</v>
      </c>
      <c r="DQ19" s="16">
        <v>584</v>
      </c>
      <c r="DR19" s="16">
        <v>584</v>
      </c>
      <c r="DS19" s="16">
        <v>584</v>
      </c>
      <c r="DT19" s="16">
        <v>584</v>
      </c>
      <c r="DU19" s="16">
        <v>584</v>
      </c>
    </row>
    <row r="20" spans="1:125" outlineLevel="1">
      <c r="A20" s="2">
        <f t="shared" si="43"/>
        <v>0.27083333333333331</v>
      </c>
      <c r="B20" s="4">
        <f t="shared" si="34"/>
        <v>0.27083333333333331</v>
      </c>
      <c r="D20" s="39">
        <f t="shared" si="44"/>
        <v>5</v>
      </c>
      <c r="E20" s="40">
        <f t="shared" si="44"/>
        <v>0</v>
      </c>
      <c r="F20" s="40">
        <f t="shared" si="44"/>
        <v>0</v>
      </c>
      <c r="G20" s="40">
        <f t="shared" si="44"/>
        <v>0</v>
      </c>
      <c r="H20" s="40">
        <f t="shared" si="44"/>
        <v>0</v>
      </c>
      <c r="I20" s="40">
        <f t="shared" si="44"/>
        <v>0</v>
      </c>
      <c r="J20" s="40">
        <f t="shared" si="44"/>
        <v>0</v>
      </c>
      <c r="K20" s="40">
        <f t="shared" si="44"/>
        <v>0</v>
      </c>
      <c r="L20" s="40">
        <f t="shared" si="44"/>
        <v>0</v>
      </c>
      <c r="M20" s="40">
        <f t="shared" si="44"/>
        <v>0</v>
      </c>
      <c r="N20" s="40">
        <f t="shared" si="44"/>
        <v>0</v>
      </c>
      <c r="O20" s="40">
        <f t="shared" si="44"/>
        <v>0</v>
      </c>
      <c r="P20" s="40">
        <f>P$6</f>
        <v>0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>
        <f t="shared" si="35"/>
        <v>0</v>
      </c>
      <c r="AW20" s="40">
        <f t="shared" si="35"/>
        <v>0</v>
      </c>
      <c r="AX20" s="40">
        <f t="shared" si="35"/>
        <v>0</v>
      </c>
      <c r="AY20" s="41">
        <f t="shared" si="36"/>
        <v>0</v>
      </c>
      <c r="AZ20" s="34"/>
      <c r="BA20" s="9">
        <f t="shared" si="37"/>
        <v>3.1058823529411761</v>
      </c>
      <c r="BB20" s="6">
        <f>IF(BD20&lt;=0,0,Agents($A$1,$B$1,BD20*2,BE20))</f>
        <v>2</v>
      </c>
      <c r="BC20" s="9">
        <f t="shared" si="45"/>
        <v>1.2229757785467119</v>
      </c>
      <c r="BD20" s="9">
        <f t="shared" si="38"/>
        <v>2.1607142857142856</v>
      </c>
      <c r="BE20" s="9">
        <f t="shared" si="39"/>
        <v>1560</v>
      </c>
      <c r="BF20" s="17">
        <f t="shared" si="40"/>
        <v>1</v>
      </c>
      <c r="BG20" s="17">
        <f t="shared" si="41"/>
        <v>0.60292661190032959</v>
      </c>
      <c r="BH20" s="21">
        <f t="shared" si="42"/>
        <v>1.552941176470588</v>
      </c>
      <c r="BI20" s="22">
        <f t="shared" si="32"/>
        <v>5.2521008403361357E-3</v>
      </c>
      <c r="BJ20" s="30">
        <f t="shared" si="46"/>
        <v>3600</v>
      </c>
      <c r="BO20" s="11">
        <v>0.27083333333333331</v>
      </c>
      <c r="BP20" s="16">
        <v>0.75</v>
      </c>
      <c r="BQ20" s="16">
        <v>0.5</v>
      </c>
      <c r="BR20" s="16">
        <v>2.25</v>
      </c>
      <c r="BS20" s="16">
        <v>3.375</v>
      </c>
      <c r="BT20" s="16">
        <v>3.125</v>
      </c>
      <c r="BU20" s="16">
        <v>2.25</v>
      </c>
      <c r="BV20" s="16">
        <v>2.875</v>
      </c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S20" s="11">
        <v>0.27083333333333331</v>
      </c>
      <c r="CT20" s="16">
        <v>650</v>
      </c>
      <c r="CU20" s="16">
        <v>650</v>
      </c>
      <c r="CV20" s="16">
        <v>650</v>
      </c>
      <c r="CW20" s="16">
        <v>650</v>
      </c>
      <c r="CX20" s="16">
        <v>650</v>
      </c>
      <c r="CY20" s="16">
        <v>650</v>
      </c>
      <c r="CZ20" s="16">
        <v>650</v>
      </c>
      <c r="DA20" s="16">
        <v>584</v>
      </c>
      <c r="DB20" s="16">
        <v>584</v>
      </c>
      <c r="DC20" s="16">
        <v>584</v>
      </c>
      <c r="DD20" s="16">
        <v>584</v>
      </c>
      <c r="DE20" s="16">
        <v>584</v>
      </c>
      <c r="DF20" s="16">
        <v>584</v>
      </c>
      <c r="DG20" s="16">
        <v>584</v>
      </c>
      <c r="DH20" s="16">
        <v>617</v>
      </c>
      <c r="DI20" s="16">
        <v>617</v>
      </c>
      <c r="DJ20" s="16">
        <v>617</v>
      </c>
      <c r="DK20" s="16">
        <v>617</v>
      </c>
      <c r="DL20" s="16">
        <v>617</v>
      </c>
      <c r="DM20" s="16">
        <v>617</v>
      </c>
      <c r="DN20" s="16">
        <v>617</v>
      </c>
      <c r="DO20" s="16">
        <v>584</v>
      </c>
      <c r="DP20" s="16">
        <v>584</v>
      </c>
      <c r="DQ20" s="16">
        <v>584</v>
      </c>
      <c r="DR20" s="16">
        <v>584</v>
      </c>
      <c r="DS20" s="16">
        <v>584</v>
      </c>
      <c r="DT20" s="16">
        <v>584</v>
      </c>
      <c r="DU20" s="16">
        <v>584</v>
      </c>
    </row>
    <row r="21" spans="1:125" outlineLevel="1">
      <c r="A21" s="2">
        <f t="shared" si="43"/>
        <v>0.29166666666666663</v>
      </c>
      <c r="B21" s="4">
        <f t="shared" si="34"/>
        <v>0.29166666666666663</v>
      </c>
      <c r="D21" s="39">
        <f t="shared" si="44"/>
        <v>5</v>
      </c>
      <c r="E21" s="40">
        <f t="shared" si="44"/>
        <v>0</v>
      </c>
      <c r="F21" s="40">
        <f t="shared" si="44"/>
        <v>0</v>
      </c>
      <c r="G21" s="40">
        <f t="shared" si="44"/>
        <v>0</v>
      </c>
      <c r="H21" s="40">
        <f t="shared" si="44"/>
        <v>0</v>
      </c>
      <c r="I21" s="40">
        <f t="shared" si="44"/>
        <v>0</v>
      </c>
      <c r="J21" s="40">
        <f t="shared" si="44"/>
        <v>0</v>
      </c>
      <c r="K21" s="40">
        <f t="shared" si="44"/>
        <v>0</v>
      </c>
      <c r="L21" s="40">
        <f t="shared" si="44"/>
        <v>0</v>
      </c>
      <c r="M21" s="40">
        <f t="shared" si="44"/>
        <v>0</v>
      </c>
      <c r="N21" s="40">
        <f t="shared" si="44"/>
        <v>0</v>
      </c>
      <c r="O21" s="40">
        <f t="shared" si="44"/>
        <v>0</v>
      </c>
      <c r="P21" s="40">
        <f t="shared" si="44"/>
        <v>0</v>
      </c>
      <c r="Q21" s="40">
        <f>Q$6</f>
        <v>0</v>
      </c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>
        <f t="shared" si="35"/>
        <v>0</v>
      </c>
      <c r="AX21" s="40">
        <f t="shared" si="35"/>
        <v>0</v>
      </c>
      <c r="AY21" s="41">
        <f t="shared" si="36"/>
        <v>0</v>
      </c>
      <c r="AZ21" s="34"/>
      <c r="BA21" s="9">
        <f t="shared" si="37"/>
        <v>3.1058823529411761</v>
      </c>
      <c r="BB21" s="6">
        <f>IF(BD21&lt;=0,0,Agents($A$1,$B$1,BD21*2,BE21))</f>
        <v>3</v>
      </c>
      <c r="BC21" s="9">
        <f t="shared" si="45"/>
        <v>1.1211072664359781E-2</v>
      </c>
      <c r="BD21" s="9">
        <f t="shared" si="38"/>
        <v>2.3928571428571428</v>
      </c>
      <c r="BE21" s="9">
        <f t="shared" si="39"/>
        <v>1560</v>
      </c>
      <c r="BF21" s="17">
        <f t="shared" si="40"/>
        <v>1</v>
      </c>
      <c r="BG21" s="17">
        <f t="shared" si="41"/>
        <v>0.66770374774932861</v>
      </c>
      <c r="BH21" s="21">
        <f t="shared" si="42"/>
        <v>1.0352941176470587</v>
      </c>
      <c r="BI21" s="22">
        <f t="shared" si="32"/>
        <v>5.2521008403361357E-3</v>
      </c>
      <c r="BJ21" s="30">
        <f t="shared" si="46"/>
        <v>5400</v>
      </c>
      <c r="BO21" s="11">
        <v>0.29166666666666669</v>
      </c>
      <c r="BP21" s="16">
        <v>1</v>
      </c>
      <c r="BQ21" s="16">
        <v>1.25</v>
      </c>
      <c r="BR21" s="16">
        <v>3.25</v>
      </c>
      <c r="BS21" s="16">
        <v>3.625</v>
      </c>
      <c r="BT21" s="16">
        <v>2.25</v>
      </c>
      <c r="BU21" s="16">
        <v>3.75</v>
      </c>
      <c r="BV21" s="16">
        <v>1.625</v>
      </c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S21" s="11">
        <v>0.29166666666666669</v>
      </c>
      <c r="CT21" s="16">
        <v>650</v>
      </c>
      <c r="CU21" s="16">
        <v>650</v>
      </c>
      <c r="CV21" s="16">
        <v>650</v>
      </c>
      <c r="CW21" s="16">
        <v>650</v>
      </c>
      <c r="CX21" s="16">
        <v>650</v>
      </c>
      <c r="CY21" s="16">
        <v>650</v>
      </c>
      <c r="CZ21" s="16">
        <v>650</v>
      </c>
      <c r="DA21" s="16">
        <v>584</v>
      </c>
      <c r="DB21" s="16">
        <v>584</v>
      </c>
      <c r="DC21" s="16">
        <v>584</v>
      </c>
      <c r="DD21" s="16">
        <v>584</v>
      </c>
      <c r="DE21" s="16">
        <v>584</v>
      </c>
      <c r="DF21" s="16">
        <v>584</v>
      </c>
      <c r="DG21" s="16">
        <v>584</v>
      </c>
      <c r="DH21" s="16">
        <v>617</v>
      </c>
      <c r="DI21" s="16">
        <v>617</v>
      </c>
      <c r="DJ21" s="16">
        <v>617</v>
      </c>
      <c r="DK21" s="16">
        <v>617</v>
      </c>
      <c r="DL21" s="16">
        <v>617</v>
      </c>
      <c r="DM21" s="16">
        <v>617</v>
      </c>
      <c r="DN21" s="16">
        <v>617</v>
      </c>
      <c r="DO21" s="16">
        <v>584</v>
      </c>
      <c r="DP21" s="16">
        <v>584</v>
      </c>
      <c r="DQ21" s="16">
        <v>584</v>
      </c>
      <c r="DR21" s="16">
        <v>584</v>
      </c>
      <c r="DS21" s="16">
        <v>584</v>
      </c>
      <c r="DT21" s="16">
        <v>584</v>
      </c>
      <c r="DU21" s="16">
        <v>584</v>
      </c>
    </row>
    <row r="22" spans="1:125" outlineLevel="1">
      <c r="A22" s="2">
        <f t="shared" si="43"/>
        <v>0.31249999999999994</v>
      </c>
      <c r="B22" s="4">
        <f t="shared" si="34"/>
        <v>0.31249999999999994</v>
      </c>
      <c r="D22" s="39">
        <f t="shared" si="44"/>
        <v>5</v>
      </c>
      <c r="E22" s="40">
        <f t="shared" si="44"/>
        <v>0</v>
      </c>
      <c r="F22" s="40">
        <f t="shared" si="44"/>
        <v>0</v>
      </c>
      <c r="G22" s="40">
        <f t="shared" si="44"/>
        <v>0</v>
      </c>
      <c r="H22" s="40">
        <f t="shared" si="44"/>
        <v>0</v>
      </c>
      <c r="I22" s="40">
        <f t="shared" si="44"/>
        <v>0</v>
      </c>
      <c r="J22" s="40">
        <f t="shared" si="44"/>
        <v>0</v>
      </c>
      <c r="K22" s="40">
        <f t="shared" si="44"/>
        <v>0</v>
      </c>
      <c r="L22" s="40">
        <f t="shared" si="44"/>
        <v>0</v>
      </c>
      <c r="M22" s="40">
        <f t="shared" si="44"/>
        <v>0</v>
      </c>
      <c r="N22" s="40">
        <f t="shared" si="44"/>
        <v>0</v>
      </c>
      <c r="O22" s="40">
        <f t="shared" si="44"/>
        <v>0</v>
      </c>
      <c r="P22" s="40">
        <f t="shared" si="44"/>
        <v>0</v>
      </c>
      <c r="Q22" s="40">
        <f t="shared" si="44"/>
        <v>0</v>
      </c>
      <c r="R22" s="40">
        <f>R$6</f>
        <v>0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>
        <f t="shared" si="35"/>
        <v>0</v>
      </c>
      <c r="AY22" s="41">
        <f t="shared" si="36"/>
        <v>0</v>
      </c>
      <c r="AZ22" s="34"/>
      <c r="BA22" s="9">
        <f t="shared" si="37"/>
        <v>3.1058823529411761</v>
      </c>
      <c r="BB22" s="6">
        <f>IF(BD22&lt;=0,0,Agents($A$1,$B$1,BD22*2,BE22))</f>
        <v>3</v>
      </c>
      <c r="BC22" s="9">
        <f t="shared" si="45"/>
        <v>1.1211072664359781E-2</v>
      </c>
      <c r="BD22" s="9">
        <f t="shared" si="38"/>
        <v>2.9107142857142856</v>
      </c>
      <c r="BE22" s="9">
        <f t="shared" si="39"/>
        <v>1560</v>
      </c>
      <c r="BF22" s="17">
        <f t="shared" si="40"/>
        <v>0.99998569488525391</v>
      </c>
      <c r="BG22" s="17">
        <f t="shared" si="41"/>
        <v>0.8122069239616394</v>
      </c>
      <c r="BH22" s="21">
        <f t="shared" si="42"/>
        <v>1.0352941176470587</v>
      </c>
      <c r="BI22" s="22">
        <f t="shared" si="32"/>
        <v>5.2521008403361357E-3</v>
      </c>
      <c r="BJ22" s="30">
        <f t="shared" si="46"/>
        <v>5400</v>
      </c>
      <c r="BO22" s="11">
        <v>0.3125</v>
      </c>
      <c r="BP22" s="16">
        <v>0.625</v>
      </c>
      <c r="BQ22" s="16">
        <v>1.25</v>
      </c>
      <c r="BR22" s="16">
        <v>3.75</v>
      </c>
      <c r="BS22" s="16">
        <v>3.875</v>
      </c>
      <c r="BT22" s="16">
        <v>3.875</v>
      </c>
      <c r="BU22" s="16">
        <v>4.25</v>
      </c>
      <c r="BV22" s="16">
        <v>2.75</v>
      </c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S22" s="11">
        <v>0.3125</v>
      </c>
      <c r="CT22" s="16">
        <v>650</v>
      </c>
      <c r="CU22" s="16">
        <v>650</v>
      </c>
      <c r="CV22" s="16">
        <v>650</v>
      </c>
      <c r="CW22" s="16">
        <v>650</v>
      </c>
      <c r="CX22" s="16">
        <v>650</v>
      </c>
      <c r="CY22" s="16">
        <v>650</v>
      </c>
      <c r="CZ22" s="16">
        <v>650</v>
      </c>
      <c r="DA22" s="16">
        <v>584</v>
      </c>
      <c r="DB22" s="16">
        <v>584</v>
      </c>
      <c r="DC22" s="16">
        <v>584</v>
      </c>
      <c r="DD22" s="16">
        <v>584</v>
      </c>
      <c r="DE22" s="16">
        <v>584</v>
      </c>
      <c r="DF22" s="16">
        <v>584</v>
      </c>
      <c r="DG22" s="16">
        <v>584</v>
      </c>
      <c r="DH22" s="16">
        <v>617</v>
      </c>
      <c r="DI22" s="16">
        <v>617</v>
      </c>
      <c r="DJ22" s="16">
        <v>617</v>
      </c>
      <c r="DK22" s="16">
        <v>617</v>
      </c>
      <c r="DL22" s="16">
        <v>617</v>
      </c>
      <c r="DM22" s="16">
        <v>617</v>
      </c>
      <c r="DN22" s="16">
        <v>617</v>
      </c>
      <c r="DO22" s="16">
        <v>584</v>
      </c>
      <c r="DP22" s="16">
        <v>584</v>
      </c>
      <c r="DQ22" s="16">
        <v>584</v>
      </c>
      <c r="DR22" s="16">
        <v>584</v>
      </c>
      <c r="DS22" s="16">
        <v>584</v>
      </c>
      <c r="DT22" s="16">
        <v>584</v>
      </c>
      <c r="DU22" s="16">
        <v>584</v>
      </c>
    </row>
    <row r="23" spans="1:125" outlineLevel="1">
      <c r="A23" s="2">
        <f t="shared" si="43"/>
        <v>0.33333333333333326</v>
      </c>
      <c r="B23" s="4">
        <f t="shared" si="34"/>
        <v>0.33333333333333326</v>
      </c>
      <c r="D23" s="39">
        <f t="shared" si="44"/>
        <v>5</v>
      </c>
      <c r="E23" s="40">
        <f t="shared" si="44"/>
        <v>0</v>
      </c>
      <c r="F23" s="40">
        <f t="shared" si="44"/>
        <v>0</v>
      </c>
      <c r="G23" s="40">
        <f t="shared" si="44"/>
        <v>0</v>
      </c>
      <c r="H23" s="40">
        <f t="shared" si="44"/>
        <v>0</v>
      </c>
      <c r="I23" s="40">
        <f t="shared" si="44"/>
        <v>0</v>
      </c>
      <c r="J23" s="40">
        <f t="shared" si="44"/>
        <v>0</v>
      </c>
      <c r="K23" s="40">
        <f t="shared" si="44"/>
        <v>0</v>
      </c>
      <c r="L23" s="40">
        <f t="shared" si="44"/>
        <v>0</v>
      </c>
      <c r="M23" s="40">
        <f t="shared" si="44"/>
        <v>0</v>
      </c>
      <c r="N23" s="40">
        <f t="shared" si="44"/>
        <v>0</v>
      </c>
      <c r="O23" s="40">
        <f t="shared" si="44"/>
        <v>0</v>
      </c>
      <c r="P23" s="40">
        <f t="shared" si="44"/>
        <v>0</v>
      </c>
      <c r="Q23" s="40">
        <f t="shared" si="44"/>
        <v>0</v>
      </c>
      <c r="R23" s="40">
        <f t="shared" si="44"/>
        <v>0</v>
      </c>
      <c r="S23" s="40">
        <f>S$6</f>
        <v>0</v>
      </c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1">
        <f t="shared" si="36"/>
        <v>0</v>
      </c>
      <c r="AZ23" s="34"/>
      <c r="BA23" s="9">
        <f t="shared" si="37"/>
        <v>3.1058823529411761</v>
      </c>
      <c r="BB23" s="6">
        <f>IF(BD23&lt;=0,0,Agents($A$1,$B$1,BD23*2,BE23))</f>
        <v>2</v>
      </c>
      <c r="BC23" s="9">
        <f t="shared" si="45"/>
        <v>1.2229757785467119</v>
      </c>
      <c r="BD23" s="9">
        <f t="shared" si="38"/>
        <v>2</v>
      </c>
      <c r="BE23" s="9">
        <f t="shared" si="39"/>
        <v>1560</v>
      </c>
      <c r="BF23" s="17">
        <f t="shared" si="40"/>
        <v>1</v>
      </c>
      <c r="BG23" s="17">
        <f t="shared" si="41"/>
        <v>0.55808079242706299</v>
      </c>
      <c r="BH23" s="21">
        <f t="shared" si="42"/>
        <v>1.552941176470588</v>
      </c>
      <c r="BI23" s="22">
        <f t="shared" si="32"/>
        <v>5.2521008403361357E-3</v>
      </c>
      <c r="BJ23" s="30">
        <f t="shared" si="46"/>
        <v>3600</v>
      </c>
      <c r="BO23" s="11">
        <v>0.33333333333333331</v>
      </c>
      <c r="BP23" s="16">
        <v>0.875</v>
      </c>
      <c r="BQ23" s="16">
        <v>0.875</v>
      </c>
      <c r="BR23" s="16">
        <v>1.625</v>
      </c>
      <c r="BS23" s="16">
        <v>2.625</v>
      </c>
      <c r="BT23" s="16">
        <v>3</v>
      </c>
      <c r="BU23" s="16">
        <v>3.875</v>
      </c>
      <c r="BV23" s="16">
        <v>1.125</v>
      </c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S23" s="11">
        <v>0.33333333333333331</v>
      </c>
      <c r="CT23" s="16">
        <v>650</v>
      </c>
      <c r="CU23" s="16">
        <v>650</v>
      </c>
      <c r="CV23" s="16">
        <v>650</v>
      </c>
      <c r="CW23" s="16">
        <v>650</v>
      </c>
      <c r="CX23" s="16">
        <v>650</v>
      </c>
      <c r="CY23" s="16">
        <v>650</v>
      </c>
      <c r="CZ23" s="16">
        <v>650</v>
      </c>
      <c r="DA23" s="16">
        <v>584</v>
      </c>
      <c r="DB23" s="16">
        <v>584</v>
      </c>
      <c r="DC23" s="16">
        <v>584</v>
      </c>
      <c r="DD23" s="16">
        <v>584</v>
      </c>
      <c r="DE23" s="16">
        <v>584</v>
      </c>
      <c r="DF23" s="16">
        <v>584</v>
      </c>
      <c r="DG23" s="16">
        <v>584</v>
      </c>
      <c r="DH23" s="16">
        <v>617</v>
      </c>
      <c r="DI23" s="16">
        <v>617</v>
      </c>
      <c r="DJ23" s="16">
        <v>617</v>
      </c>
      <c r="DK23" s="16">
        <v>617</v>
      </c>
      <c r="DL23" s="16">
        <v>617</v>
      </c>
      <c r="DM23" s="16">
        <v>617</v>
      </c>
      <c r="DN23" s="16">
        <v>617</v>
      </c>
      <c r="DO23" s="16">
        <v>584</v>
      </c>
      <c r="DP23" s="16">
        <v>584</v>
      </c>
      <c r="DQ23" s="16">
        <v>584</v>
      </c>
      <c r="DR23" s="16">
        <v>584</v>
      </c>
      <c r="DS23" s="16">
        <v>584</v>
      </c>
      <c r="DT23" s="16">
        <v>584</v>
      </c>
      <c r="DU23" s="16">
        <v>584</v>
      </c>
    </row>
    <row r="24" spans="1:125" outlineLevel="1">
      <c r="A24" s="2">
        <f t="shared" si="43"/>
        <v>0.35416666666666657</v>
      </c>
      <c r="B24" s="4">
        <f t="shared" si="34"/>
        <v>0.35416666666666657</v>
      </c>
      <c r="D24" s="39">
        <f t="shared" si="44"/>
        <v>5</v>
      </c>
      <c r="E24" s="40">
        <f t="shared" si="44"/>
        <v>0</v>
      </c>
      <c r="F24" s="40">
        <f t="shared" si="44"/>
        <v>0</v>
      </c>
      <c r="G24" s="40">
        <f t="shared" si="44"/>
        <v>0</v>
      </c>
      <c r="H24" s="40">
        <f t="shared" si="44"/>
        <v>0</v>
      </c>
      <c r="I24" s="40">
        <f t="shared" si="44"/>
        <v>0</v>
      </c>
      <c r="J24" s="40">
        <f t="shared" si="44"/>
        <v>0</v>
      </c>
      <c r="K24" s="40">
        <f t="shared" si="44"/>
        <v>0</v>
      </c>
      <c r="L24" s="40">
        <f t="shared" si="44"/>
        <v>0</v>
      </c>
      <c r="M24" s="40">
        <f t="shared" si="44"/>
        <v>0</v>
      </c>
      <c r="N24" s="40">
        <f t="shared" si="44"/>
        <v>0</v>
      </c>
      <c r="O24" s="40">
        <f t="shared" si="44"/>
        <v>0</v>
      </c>
      <c r="P24" s="40">
        <f t="shared" si="44"/>
        <v>0</v>
      </c>
      <c r="Q24" s="40">
        <f t="shared" si="44"/>
        <v>0</v>
      </c>
      <c r="R24" s="40">
        <f t="shared" si="44"/>
        <v>0</v>
      </c>
      <c r="S24" s="40">
        <f t="shared" si="44"/>
        <v>0</v>
      </c>
      <c r="T24" s="40">
        <f>T$6</f>
        <v>0</v>
      </c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1"/>
      <c r="AZ24" s="34"/>
      <c r="BA24" s="9">
        <f t="shared" si="37"/>
        <v>3.1058823529411761</v>
      </c>
      <c r="BB24" s="6">
        <f>IF(BD24&lt;=0,0,Agents($A$1,$B$1,BD24*2,BE24))</f>
        <v>2</v>
      </c>
      <c r="BC24" s="9">
        <f t="shared" si="45"/>
        <v>1.2229757785467119</v>
      </c>
      <c r="BD24" s="9">
        <f t="shared" si="38"/>
        <v>1.9821428571428572</v>
      </c>
      <c r="BE24" s="9">
        <f t="shared" si="39"/>
        <v>1560</v>
      </c>
      <c r="BF24" s="17">
        <f t="shared" si="40"/>
        <v>1</v>
      </c>
      <c r="BG24" s="17">
        <f t="shared" si="41"/>
        <v>0.55309790372848511</v>
      </c>
      <c r="BH24" s="21">
        <f t="shared" si="42"/>
        <v>1.552941176470588</v>
      </c>
      <c r="BI24" s="22">
        <f t="shared" si="32"/>
        <v>5.2521008403361357E-3</v>
      </c>
      <c r="BJ24" s="30">
        <f t="shared" si="46"/>
        <v>3600</v>
      </c>
      <c r="BO24" s="11">
        <v>0.35416666666666669</v>
      </c>
      <c r="BP24" s="16">
        <v>1.5</v>
      </c>
      <c r="BQ24" s="16">
        <v>1.125</v>
      </c>
      <c r="BR24" s="16">
        <v>1.125</v>
      </c>
      <c r="BS24" s="16">
        <v>3.5</v>
      </c>
      <c r="BT24" s="16">
        <v>1.75</v>
      </c>
      <c r="BU24" s="16">
        <v>1.5</v>
      </c>
      <c r="BV24" s="16">
        <v>3.375</v>
      </c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S24" s="11">
        <v>0.35416666666666669</v>
      </c>
      <c r="CT24" s="16">
        <v>650</v>
      </c>
      <c r="CU24" s="16">
        <v>650</v>
      </c>
      <c r="CV24" s="16">
        <v>650</v>
      </c>
      <c r="CW24" s="16">
        <v>650</v>
      </c>
      <c r="CX24" s="16">
        <v>650</v>
      </c>
      <c r="CY24" s="16">
        <v>650</v>
      </c>
      <c r="CZ24" s="16">
        <v>650</v>
      </c>
      <c r="DA24" s="16">
        <v>584</v>
      </c>
      <c r="DB24" s="16">
        <v>584</v>
      </c>
      <c r="DC24" s="16">
        <v>584</v>
      </c>
      <c r="DD24" s="16">
        <v>584</v>
      </c>
      <c r="DE24" s="16">
        <v>584</v>
      </c>
      <c r="DF24" s="16">
        <v>584</v>
      </c>
      <c r="DG24" s="16">
        <v>584</v>
      </c>
      <c r="DH24" s="16">
        <v>617</v>
      </c>
      <c r="DI24" s="16">
        <v>617</v>
      </c>
      <c r="DJ24" s="16">
        <v>617</v>
      </c>
      <c r="DK24" s="16">
        <v>617</v>
      </c>
      <c r="DL24" s="16">
        <v>617</v>
      </c>
      <c r="DM24" s="16">
        <v>617</v>
      </c>
      <c r="DN24" s="16">
        <v>617</v>
      </c>
      <c r="DO24" s="16">
        <v>584</v>
      </c>
      <c r="DP24" s="16">
        <v>584</v>
      </c>
      <c r="DQ24" s="16">
        <v>584</v>
      </c>
      <c r="DR24" s="16">
        <v>584</v>
      </c>
      <c r="DS24" s="16">
        <v>584</v>
      </c>
      <c r="DT24" s="16">
        <v>584</v>
      </c>
      <c r="DU24" s="16">
        <v>584</v>
      </c>
    </row>
    <row r="25" spans="1:125" outlineLevel="1">
      <c r="A25" s="2">
        <f t="shared" si="43"/>
        <v>0.37499999999999989</v>
      </c>
      <c r="B25" s="4">
        <f t="shared" si="34"/>
        <v>0.37499999999999989</v>
      </c>
      <c r="D25" s="39"/>
      <c r="E25" s="40">
        <f t="shared" si="44"/>
        <v>0</v>
      </c>
      <c r="F25" s="40">
        <f t="shared" si="44"/>
        <v>0</v>
      </c>
      <c r="G25" s="40">
        <f t="shared" si="44"/>
        <v>0</v>
      </c>
      <c r="H25" s="40">
        <f t="shared" si="44"/>
        <v>0</v>
      </c>
      <c r="I25" s="40">
        <f t="shared" si="44"/>
        <v>0</v>
      </c>
      <c r="J25" s="40">
        <f t="shared" si="44"/>
        <v>0</v>
      </c>
      <c r="K25" s="40">
        <f t="shared" si="44"/>
        <v>0</v>
      </c>
      <c r="L25" s="40">
        <f t="shared" si="44"/>
        <v>0</v>
      </c>
      <c r="M25" s="40">
        <f t="shared" si="44"/>
        <v>0</v>
      </c>
      <c r="N25" s="40">
        <f t="shared" si="44"/>
        <v>0</v>
      </c>
      <c r="O25" s="40">
        <f t="shared" si="44"/>
        <v>0</v>
      </c>
      <c r="P25" s="40">
        <f t="shared" si="44"/>
        <v>0</v>
      </c>
      <c r="Q25" s="40">
        <f t="shared" si="44"/>
        <v>0</v>
      </c>
      <c r="R25" s="40">
        <f t="shared" si="44"/>
        <v>0</v>
      </c>
      <c r="S25" s="40">
        <f t="shared" si="44"/>
        <v>0</v>
      </c>
      <c r="T25" s="40">
        <f t="shared" si="44"/>
        <v>0</v>
      </c>
      <c r="U25" s="40">
        <f>U$6</f>
        <v>0</v>
      </c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1"/>
      <c r="AZ25" s="34"/>
      <c r="BA25" s="9">
        <f t="shared" si="37"/>
        <v>0</v>
      </c>
      <c r="BB25" s="6">
        <f>IF(BD25&lt;=0,0,Agents($A$1,$B$1,BD25*2,BE25))</f>
        <v>0</v>
      </c>
      <c r="BC25" s="9">
        <f t="shared" si="45"/>
        <v>0</v>
      </c>
      <c r="BD25" s="9">
        <f t="shared" si="38"/>
        <v>0</v>
      </c>
      <c r="BE25" s="9">
        <f t="shared" si="39"/>
        <v>0</v>
      </c>
      <c r="BF25" s="17">
        <f t="shared" si="40"/>
        <v>0</v>
      </c>
      <c r="BG25" s="17">
        <f t="shared" si="41"/>
        <v>0</v>
      </c>
      <c r="BH25" s="21">
        <f t="shared" si="42"/>
        <v>0</v>
      </c>
      <c r="BI25" s="22">
        <f t="shared" si="32"/>
        <v>0</v>
      </c>
      <c r="BJ25" s="30">
        <f t="shared" si="46"/>
        <v>0</v>
      </c>
      <c r="BO25" s="11">
        <v>0.375</v>
      </c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S25" s="11">
        <v>0.375</v>
      </c>
      <c r="CT25" s="16">
        <v>650</v>
      </c>
      <c r="CU25" s="16">
        <v>650</v>
      </c>
      <c r="CV25" s="16">
        <v>650</v>
      </c>
      <c r="CW25" s="16">
        <v>650</v>
      </c>
      <c r="CX25" s="16">
        <v>650</v>
      </c>
      <c r="CY25" s="16">
        <v>650</v>
      </c>
      <c r="CZ25" s="16">
        <v>650</v>
      </c>
      <c r="DA25" s="16">
        <v>584</v>
      </c>
      <c r="DB25" s="16">
        <v>584</v>
      </c>
      <c r="DC25" s="16">
        <v>584</v>
      </c>
      <c r="DD25" s="16">
        <v>584</v>
      </c>
      <c r="DE25" s="16">
        <v>584</v>
      </c>
      <c r="DF25" s="16">
        <v>584</v>
      </c>
      <c r="DG25" s="16">
        <v>584</v>
      </c>
      <c r="DH25" s="16">
        <v>617</v>
      </c>
      <c r="DI25" s="16">
        <v>617</v>
      </c>
      <c r="DJ25" s="16">
        <v>617</v>
      </c>
      <c r="DK25" s="16">
        <v>617</v>
      </c>
      <c r="DL25" s="16">
        <v>617</v>
      </c>
      <c r="DM25" s="16">
        <v>617</v>
      </c>
      <c r="DN25" s="16">
        <v>617</v>
      </c>
      <c r="DO25" s="16">
        <v>584</v>
      </c>
      <c r="DP25" s="16">
        <v>584</v>
      </c>
      <c r="DQ25" s="16">
        <v>584</v>
      </c>
      <c r="DR25" s="16">
        <v>584</v>
      </c>
      <c r="DS25" s="16">
        <v>584</v>
      </c>
      <c r="DT25" s="16">
        <v>584</v>
      </c>
      <c r="DU25" s="16">
        <v>584</v>
      </c>
    </row>
    <row r="26" spans="1:125" outlineLevel="1">
      <c r="A26" s="2">
        <f t="shared" si="43"/>
        <v>0.3958333333333332</v>
      </c>
      <c r="B26" s="4">
        <f t="shared" si="34"/>
        <v>0.3958333333333332</v>
      </c>
      <c r="D26" s="39"/>
      <c r="E26" s="40"/>
      <c r="F26" s="40">
        <f t="shared" si="44"/>
        <v>0</v>
      </c>
      <c r="G26" s="40">
        <f t="shared" si="44"/>
        <v>0</v>
      </c>
      <c r="H26" s="40">
        <f t="shared" si="44"/>
        <v>0</v>
      </c>
      <c r="I26" s="40">
        <f t="shared" si="44"/>
        <v>0</v>
      </c>
      <c r="J26" s="40">
        <f t="shared" si="44"/>
        <v>0</v>
      </c>
      <c r="K26" s="40">
        <f t="shared" si="44"/>
        <v>0</v>
      </c>
      <c r="L26" s="40">
        <f t="shared" si="44"/>
        <v>0</v>
      </c>
      <c r="M26" s="40">
        <f t="shared" si="44"/>
        <v>0</v>
      </c>
      <c r="N26" s="40">
        <f t="shared" si="44"/>
        <v>0</v>
      </c>
      <c r="O26" s="40">
        <f t="shared" si="44"/>
        <v>0</v>
      </c>
      <c r="P26" s="40">
        <f t="shared" si="44"/>
        <v>0</v>
      </c>
      <c r="Q26" s="40">
        <f t="shared" si="44"/>
        <v>0</v>
      </c>
      <c r="R26" s="40">
        <f t="shared" si="44"/>
        <v>0</v>
      </c>
      <c r="S26" s="40">
        <f t="shared" si="44"/>
        <v>0</v>
      </c>
      <c r="T26" s="40">
        <f t="shared" si="44"/>
        <v>0</v>
      </c>
      <c r="U26" s="40">
        <f t="shared" si="44"/>
        <v>0</v>
      </c>
      <c r="V26" s="40">
        <f>V$6</f>
        <v>0</v>
      </c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1"/>
      <c r="AZ26" s="34"/>
      <c r="BA26" s="9">
        <f t="shared" si="37"/>
        <v>0</v>
      </c>
      <c r="BB26" s="6">
        <f>IF(BD26&lt;=0,0,Agents($A$1,$B$1,BD26*2,BE26))</f>
        <v>0</v>
      </c>
      <c r="BC26" s="9">
        <f t="shared" si="45"/>
        <v>0</v>
      </c>
      <c r="BD26" s="9">
        <f t="shared" si="38"/>
        <v>0</v>
      </c>
      <c r="BE26" s="9">
        <f t="shared" si="39"/>
        <v>0</v>
      </c>
      <c r="BF26" s="17">
        <f t="shared" si="40"/>
        <v>0</v>
      </c>
      <c r="BG26" s="17">
        <f t="shared" si="41"/>
        <v>0</v>
      </c>
      <c r="BH26" s="21">
        <f t="shared" si="42"/>
        <v>0</v>
      </c>
      <c r="BI26" s="22">
        <f t="shared" si="32"/>
        <v>0</v>
      </c>
      <c r="BJ26" s="30">
        <f t="shared" si="46"/>
        <v>0</v>
      </c>
      <c r="BO26" s="11">
        <v>0.39583333333333331</v>
      </c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S26" s="11">
        <v>0.39583333333333331</v>
      </c>
      <c r="CT26" s="16">
        <v>650</v>
      </c>
      <c r="CU26" s="16">
        <v>650</v>
      </c>
      <c r="CV26" s="16">
        <v>650</v>
      </c>
      <c r="CW26" s="16">
        <v>650</v>
      </c>
      <c r="CX26" s="16">
        <v>650</v>
      </c>
      <c r="CY26" s="16">
        <v>650</v>
      </c>
      <c r="CZ26" s="16">
        <v>650</v>
      </c>
      <c r="DA26" s="16">
        <v>584</v>
      </c>
      <c r="DB26" s="16">
        <v>584</v>
      </c>
      <c r="DC26" s="16">
        <v>584</v>
      </c>
      <c r="DD26" s="16">
        <v>584</v>
      </c>
      <c r="DE26" s="16">
        <v>584</v>
      </c>
      <c r="DF26" s="16">
        <v>584</v>
      </c>
      <c r="DG26" s="16">
        <v>584</v>
      </c>
      <c r="DH26" s="16">
        <v>617</v>
      </c>
      <c r="DI26" s="16">
        <v>617</v>
      </c>
      <c r="DJ26" s="16">
        <v>617</v>
      </c>
      <c r="DK26" s="16">
        <v>617</v>
      </c>
      <c r="DL26" s="16">
        <v>617</v>
      </c>
      <c r="DM26" s="16">
        <v>617</v>
      </c>
      <c r="DN26" s="16">
        <v>617</v>
      </c>
      <c r="DO26" s="16">
        <v>584</v>
      </c>
      <c r="DP26" s="16">
        <v>584</v>
      </c>
      <c r="DQ26" s="16">
        <v>584</v>
      </c>
      <c r="DR26" s="16">
        <v>584</v>
      </c>
      <c r="DS26" s="16">
        <v>584</v>
      </c>
      <c r="DT26" s="16">
        <v>584</v>
      </c>
      <c r="DU26" s="16">
        <v>584</v>
      </c>
    </row>
    <row r="27" spans="1:125" outlineLevel="1">
      <c r="A27" s="2">
        <f t="shared" si="43"/>
        <v>0.41666666666666652</v>
      </c>
      <c r="B27" s="4">
        <f t="shared" si="34"/>
        <v>0.41666666666666652</v>
      </c>
      <c r="D27" s="42"/>
      <c r="E27" s="32"/>
      <c r="F27" s="32"/>
      <c r="G27" s="32">
        <f t="shared" ref="G27:AR54" si="47">G$6</f>
        <v>0</v>
      </c>
      <c r="H27" s="32">
        <f t="shared" si="47"/>
        <v>0</v>
      </c>
      <c r="I27" s="32">
        <f t="shared" si="47"/>
        <v>0</v>
      </c>
      <c r="J27" s="32">
        <f t="shared" si="47"/>
        <v>0</v>
      </c>
      <c r="K27" s="32">
        <f t="shared" si="47"/>
        <v>0</v>
      </c>
      <c r="L27" s="32">
        <f t="shared" si="47"/>
        <v>0</v>
      </c>
      <c r="M27" s="32">
        <f t="shared" si="47"/>
        <v>0</v>
      </c>
      <c r="N27" s="32">
        <f t="shared" si="47"/>
        <v>0</v>
      </c>
      <c r="O27" s="32">
        <f t="shared" si="47"/>
        <v>0</v>
      </c>
      <c r="P27" s="32">
        <f t="shared" si="47"/>
        <v>0</v>
      </c>
      <c r="Q27" s="32">
        <f t="shared" si="47"/>
        <v>0</v>
      </c>
      <c r="R27" s="32">
        <f t="shared" si="47"/>
        <v>0</v>
      </c>
      <c r="S27" s="32">
        <f t="shared" si="47"/>
        <v>0</v>
      </c>
      <c r="T27" s="32">
        <f t="shared" si="47"/>
        <v>0</v>
      </c>
      <c r="U27" s="32">
        <f t="shared" ref="U27:AX54" si="48">U$6</f>
        <v>0</v>
      </c>
      <c r="V27" s="32">
        <f t="shared" si="44"/>
        <v>0</v>
      </c>
      <c r="W27" s="32">
        <f>W$6</f>
        <v>0</v>
      </c>
      <c r="X27" s="32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1"/>
      <c r="AZ27" s="34"/>
      <c r="BA27" s="9">
        <f t="shared" si="37"/>
        <v>0</v>
      </c>
      <c r="BB27" s="6">
        <f>IF(BD27&lt;=0,0,Agents($A$1,$B$1,BD27*2,BE27))</f>
        <v>0</v>
      </c>
      <c r="BC27" s="9">
        <f t="shared" si="45"/>
        <v>0</v>
      </c>
      <c r="BD27" s="9">
        <f t="shared" si="38"/>
        <v>0</v>
      </c>
      <c r="BE27" s="9">
        <f t="shared" si="39"/>
        <v>0</v>
      </c>
      <c r="BF27" s="17">
        <f t="shared" si="40"/>
        <v>0</v>
      </c>
      <c r="BG27" s="17">
        <f t="shared" si="41"/>
        <v>0</v>
      </c>
      <c r="BH27" s="21">
        <f t="shared" si="42"/>
        <v>0</v>
      </c>
      <c r="BI27" s="22">
        <f t="shared" si="32"/>
        <v>0</v>
      </c>
      <c r="BJ27" s="30">
        <f t="shared" si="46"/>
        <v>0</v>
      </c>
      <c r="BO27" s="11">
        <v>0.41666666666666669</v>
      </c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S27" s="11">
        <v>0.41666666666666669</v>
      </c>
      <c r="CT27" s="16">
        <v>650</v>
      </c>
      <c r="CU27" s="16">
        <v>650</v>
      </c>
      <c r="CV27" s="16">
        <v>650</v>
      </c>
      <c r="CW27" s="16">
        <v>650</v>
      </c>
      <c r="CX27" s="16">
        <v>650</v>
      </c>
      <c r="CY27" s="16">
        <v>650</v>
      </c>
      <c r="CZ27" s="16">
        <v>650</v>
      </c>
      <c r="DA27" s="16">
        <v>584</v>
      </c>
      <c r="DB27" s="16">
        <v>584</v>
      </c>
      <c r="DC27" s="16">
        <v>584</v>
      </c>
      <c r="DD27" s="16">
        <v>584</v>
      </c>
      <c r="DE27" s="16">
        <v>584</v>
      </c>
      <c r="DF27" s="16">
        <v>584</v>
      </c>
      <c r="DG27" s="16">
        <v>584</v>
      </c>
      <c r="DH27" s="16">
        <v>617</v>
      </c>
      <c r="DI27" s="16">
        <v>617</v>
      </c>
      <c r="DJ27" s="16">
        <v>617</v>
      </c>
      <c r="DK27" s="16">
        <v>617</v>
      </c>
      <c r="DL27" s="16">
        <v>617</v>
      </c>
      <c r="DM27" s="16">
        <v>617</v>
      </c>
      <c r="DN27" s="16">
        <v>617</v>
      </c>
      <c r="DO27" s="16">
        <v>584</v>
      </c>
      <c r="DP27" s="16">
        <v>584</v>
      </c>
      <c r="DQ27" s="16">
        <v>584</v>
      </c>
      <c r="DR27" s="16">
        <v>584</v>
      </c>
      <c r="DS27" s="16">
        <v>584</v>
      </c>
      <c r="DT27" s="16">
        <v>584</v>
      </c>
      <c r="DU27" s="16">
        <v>584</v>
      </c>
    </row>
    <row r="28" spans="1:125" outlineLevel="1">
      <c r="A28" s="2">
        <f t="shared" si="43"/>
        <v>0.43749999999999983</v>
      </c>
      <c r="B28" s="4">
        <f t="shared" si="34"/>
        <v>0.43749999999999983</v>
      </c>
      <c r="D28" s="42"/>
      <c r="E28" s="40"/>
      <c r="F28" s="40"/>
      <c r="G28" s="40"/>
      <c r="H28" s="40">
        <f t="shared" si="47"/>
        <v>0</v>
      </c>
      <c r="I28" s="40">
        <f t="shared" si="47"/>
        <v>0</v>
      </c>
      <c r="J28" s="40">
        <f t="shared" si="47"/>
        <v>0</v>
      </c>
      <c r="K28" s="40">
        <f t="shared" si="47"/>
        <v>0</v>
      </c>
      <c r="L28" s="40">
        <f t="shared" si="47"/>
        <v>0</v>
      </c>
      <c r="M28" s="40">
        <f t="shared" si="47"/>
        <v>0</v>
      </c>
      <c r="N28" s="40">
        <f t="shared" si="47"/>
        <v>0</v>
      </c>
      <c r="O28" s="40">
        <f t="shared" si="47"/>
        <v>0</v>
      </c>
      <c r="P28" s="40">
        <f t="shared" si="47"/>
        <v>0</v>
      </c>
      <c r="Q28" s="40">
        <f t="shared" si="47"/>
        <v>0</v>
      </c>
      <c r="R28" s="40">
        <f t="shared" si="47"/>
        <v>0</v>
      </c>
      <c r="S28" s="40">
        <f t="shared" si="47"/>
        <v>0</v>
      </c>
      <c r="T28" s="40">
        <f t="shared" si="47"/>
        <v>0</v>
      </c>
      <c r="U28" s="40">
        <f t="shared" si="48"/>
        <v>0</v>
      </c>
      <c r="V28" s="40">
        <f t="shared" si="48"/>
        <v>0</v>
      </c>
      <c r="W28" s="40">
        <f t="shared" si="44"/>
        <v>0</v>
      </c>
      <c r="X28" s="32">
        <f>X$6</f>
        <v>0</v>
      </c>
      <c r="Y28" s="32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1"/>
      <c r="AZ28" s="34"/>
      <c r="BA28" s="9">
        <f t="shared" si="37"/>
        <v>0</v>
      </c>
      <c r="BB28" s="6">
        <f>IF(BD28&lt;=0,0,Agents($A$1,$B$1,BD28*2,BE28))</f>
        <v>0</v>
      </c>
      <c r="BC28" s="9">
        <f t="shared" si="45"/>
        <v>0</v>
      </c>
      <c r="BD28" s="9">
        <f t="shared" si="38"/>
        <v>0</v>
      </c>
      <c r="BE28" s="9">
        <f t="shared" si="39"/>
        <v>0</v>
      </c>
      <c r="BF28" s="17">
        <f t="shared" si="40"/>
        <v>0</v>
      </c>
      <c r="BG28" s="17">
        <f t="shared" si="41"/>
        <v>0</v>
      </c>
      <c r="BH28" s="21">
        <f t="shared" si="42"/>
        <v>0</v>
      </c>
      <c r="BI28" s="22">
        <f t="shared" si="32"/>
        <v>0</v>
      </c>
      <c r="BJ28" s="30">
        <f t="shared" si="46"/>
        <v>0</v>
      </c>
      <c r="BO28" s="11">
        <v>0.4375</v>
      </c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S28" s="11">
        <v>0.4375</v>
      </c>
      <c r="CT28" s="16">
        <v>650</v>
      </c>
      <c r="CU28" s="16">
        <v>650</v>
      </c>
      <c r="CV28" s="16">
        <v>650</v>
      </c>
      <c r="CW28" s="16">
        <v>650</v>
      </c>
      <c r="CX28" s="16">
        <v>650</v>
      </c>
      <c r="CY28" s="16">
        <v>650</v>
      </c>
      <c r="CZ28" s="16">
        <v>650</v>
      </c>
      <c r="DA28" s="16">
        <v>584</v>
      </c>
      <c r="DB28" s="16">
        <v>584</v>
      </c>
      <c r="DC28" s="16">
        <v>584</v>
      </c>
      <c r="DD28" s="16">
        <v>584</v>
      </c>
      <c r="DE28" s="16">
        <v>584</v>
      </c>
      <c r="DF28" s="16">
        <v>584</v>
      </c>
      <c r="DG28" s="16">
        <v>584</v>
      </c>
      <c r="DH28" s="16">
        <v>617</v>
      </c>
      <c r="DI28" s="16">
        <v>617</v>
      </c>
      <c r="DJ28" s="16">
        <v>617</v>
      </c>
      <c r="DK28" s="16">
        <v>617</v>
      </c>
      <c r="DL28" s="16">
        <v>617</v>
      </c>
      <c r="DM28" s="16">
        <v>617</v>
      </c>
      <c r="DN28" s="16">
        <v>617</v>
      </c>
      <c r="DO28" s="16">
        <v>584</v>
      </c>
      <c r="DP28" s="16">
        <v>584</v>
      </c>
      <c r="DQ28" s="16">
        <v>584</v>
      </c>
      <c r="DR28" s="16">
        <v>584</v>
      </c>
      <c r="DS28" s="16">
        <v>584</v>
      </c>
      <c r="DT28" s="16">
        <v>584</v>
      </c>
      <c r="DU28" s="16">
        <v>584</v>
      </c>
    </row>
    <row r="29" spans="1:125" outlineLevel="1">
      <c r="A29" s="2">
        <f t="shared" si="43"/>
        <v>0.45833333333333315</v>
      </c>
      <c r="B29" s="4">
        <f t="shared" si="34"/>
        <v>0.45833333333333315</v>
      </c>
      <c r="D29" s="42"/>
      <c r="E29" s="40"/>
      <c r="F29" s="40"/>
      <c r="G29" s="40"/>
      <c r="H29" s="40"/>
      <c r="I29" s="40">
        <f t="shared" si="47"/>
        <v>0</v>
      </c>
      <c r="J29" s="40">
        <f t="shared" si="47"/>
        <v>0</v>
      </c>
      <c r="K29" s="40">
        <f t="shared" si="47"/>
        <v>0</v>
      </c>
      <c r="L29" s="40">
        <f t="shared" si="47"/>
        <v>0</v>
      </c>
      <c r="M29" s="40">
        <f t="shared" si="47"/>
        <v>0</v>
      </c>
      <c r="N29" s="40">
        <f t="shared" si="47"/>
        <v>0</v>
      </c>
      <c r="O29" s="40">
        <f t="shared" si="47"/>
        <v>0</v>
      </c>
      <c r="P29" s="40">
        <f t="shared" si="47"/>
        <v>0</v>
      </c>
      <c r="Q29" s="40">
        <f t="shared" si="47"/>
        <v>0</v>
      </c>
      <c r="R29" s="40">
        <f t="shared" si="47"/>
        <v>0</v>
      </c>
      <c r="S29" s="40">
        <f t="shared" si="47"/>
        <v>0</v>
      </c>
      <c r="T29" s="40">
        <f t="shared" si="47"/>
        <v>0</v>
      </c>
      <c r="U29" s="40">
        <f t="shared" si="48"/>
        <v>0</v>
      </c>
      <c r="V29" s="40">
        <f t="shared" si="48"/>
        <v>0</v>
      </c>
      <c r="W29" s="40">
        <f t="shared" si="48"/>
        <v>0</v>
      </c>
      <c r="X29" s="40">
        <f t="shared" si="44"/>
        <v>0</v>
      </c>
      <c r="Y29" s="32">
        <f>Y$6</f>
        <v>0</v>
      </c>
      <c r="Z29" s="32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1"/>
      <c r="AZ29" s="34"/>
      <c r="BA29" s="9">
        <f t="shared" si="37"/>
        <v>0</v>
      </c>
      <c r="BB29" s="6">
        <f>IF(BD29&lt;=0,0,Agents($A$1,$B$1,BD29*2,BE29))</f>
        <v>0</v>
      </c>
      <c r="BC29" s="9">
        <f t="shared" si="45"/>
        <v>0</v>
      </c>
      <c r="BD29" s="9">
        <f t="shared" si="38"/>
        <v>0</v>
      </c>
      <c r="BE29" s="9">
        <f t="shared" si="39"/>
        <v>0</v>
      </c>
      <c r="BF29" s="17">
        <f t="shared" si="40"/>
        <v>0</v>
      </c>
      <c r="BG29" s="17">
        <f t="shared" si="41"/>
        <v>0</v>
      </c>
      <c r="BH29" s="21">
        <f t="shared" si="42"/>
        <v>0</v>
      </c>
      <c r="BI29" s="22">
        <f t="shared" si="32"/>
        <v>0</v>
      </c>
      <c r="BJ29" s="30">
        <f t="shared" si="46"/>
        <v>0</v>
      </c>
      <c r="BO29" s="11">
        <v>0.45833333333333331</v>
      </c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S29" s="11">
        <v>0.45833333333333331</v>
      </c>
      <c r="CT29" s="16">
        <v>650</v>
      </c>
      <c r="CU29" s="16">
        <v>650</v>
      </c>
      <c r="CV29" s="16">
        <v>650</v>
      </c>
      <c r="CW29" s="16">
        <v>650</v>
      </c>
      <c r="CX29" s="16">
        <v>650</v>
      </c>
      <c r="CY29" s="16">
        <v>650</v>
      </c>
      <c r="CZ29" s="16">
        <v>650</v>
      </c>
      <c r="DA29" s="16">
        <v>584</v>
      </c>
      <c r="DB29" s="16">
        <v>584</v>
      </c>
      <c r="DC29" s="16">
        <v>584</v>
      </c>
      <c r="DD29" s="16">
        <v>584</v>
      </c>
      <c r="DE29" s="16">
        <v>584</v>
      </c>
      <c r="DF29" s="16">
        <v>584</v>
      </c>
      <c r="DG29" s="16">
        <v>584</v>
      </c>
      <c r="DH29" s="16">
        <v>617</v>
      </c>
      <c r="DI29" s="16">
        <v>617</v>
      </c>
      <c r="DJ29" s="16">
        <v>617</v>
      </c>
      <c r="DK29" s="16">
        <v>617</v>
      </c>
      <c r="DL29" s="16">
        <v>617</v>
      </c>
      <c r="DM29" s="16">
        <v>617</v>
      </c>
      <c r="DN29" s="16">
        <v>617</v>
      </c>
      <c r="DO29" s="16">
        <v>584</v>
      </c>
      <c r="DP29" s="16">
        <v>584</v>
      </c>
      <c r="DQ29" s="16">
        <v>584</v>
      </c>
      <c r="DR29" s="16">
        <v>584</v>
      </c>
      <c r="DS29" s="16">
        <v>584</v>
      </c>
      <c r="DT29" s="16">
        <v>584</v>
      </c>
      <c r="DU29" s="16">
        <v>584</v>
      </c>
    </row>
    <row r="30" spans="1:125" outlineLevel="1">
      <c r="A30" s="2">
        <f t="shared" si="43"/>
        <v>0.47916666666666646</v>
      </c>
      <c r="B30" s="4">
        <f t="shared" si="34"/>
        <v>0.47916666666666646</v>
      </c>
      <c r="D30" s="42"/>
      <c r="E30" s="40"/>
      <c r="F30" s="40"/>
      <c r="G30" s="40"/>
      <c r="H30" s="40"/>
      <c r="I30" s="40"/>
      <c r="J30" s="40">
        <f t="shared" si="47"/>
        <v>0</v>
      </c>
      <c r="K30" s="40">
        <f t="shared" si="47"/>
        <v>0</v>
      </c>
      <c r="L30" s="40">
        <f t="shared" si="47"/>
        <v>0</v>
      </c>
      <c r="M30" s="40">
        <f t="shared" si="47"/>
        <v>0</v>
      </c>
      <c r="N30" s="40">
        <f t="shared" si="47"/>
        <v>0</v>
      </c>
      <c r="O30" s="40">
        <f t="shared" si="47"/>
        <v>0</v>
      </c>
      <c r="P30" s="40">
        <f t="shared" si="47"/>
        <v>0</v>
      </c>
      <c r="Q30" s="40">
        <f t="shared" si="47"/>
        <v>0</v>
      </c>
      <c r="R30" s="40">
        <f t="shared" si="47"/>
        <v>0</v>
      </c>
      <c r="S30" s="40">
        <f t="shared" si="47"/>
        <v>0</v>
      </c>
      <c r="T30" s="40">
        <f t="shared" si="47"/>
        <v>0</v>
      </c>
      <c r="U30" s="40">
        <f t="shared" si="48"/>
        <v>0</v>
      </c>
      <c r="V30" s="40">
        <f t="shared" si="48"/>
        <v>0</v>
      </c>
      <c r="W30" s="40">
        <f t="shared" si="48"/>
        <v>0</v>
      </c>
      <c r="X30" s="40">
        <f t="shared" si="48"/>
        <v>0</v>
      </c>
      <c r="Y30" s="40">
        <f t="shared" si="44"/>
        <v>0</v>
      </c>
      <c r="Z30" s="32">
        <f>Z$6</f>
        <v>0</v>
      </c>
      <c r="AA30" s="32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34"/>
      <c r="BA30" s="9">
        <f t="shared" si="37"/>
        <v>0</v>
      </c>
      <c r="BB30" s="6">
        <f>IF(BD30&lt;=0,0,Agents($A$1,$B$1,BD30*2,BE30))</f>
        <v>0</v>
      </c>
      <c r="BC30" s="9">
        <f t="shared" si="45"/>
        <v>0</v>
      </c>
      <c r="BD30" s="9">
        <f t="shared" si="38"/>
        <v>0</v>
      </c>
      <c r="BE30" s="9">
        <f t="shared" si="39"/>
        <v>0</v>
      </c>
      <c r="BF30" s="17">
        <f t="shared" si="40"/>
        <v>0</v>
      </c>
      <c r="BG30" s="17">
        <f t="shared" si="41"/>
        <v>0</v>
      </c>
      <c r="BH30" s="21">
        <f t="shared" si="42"/>
        <v>0</v>
      </c>
      <c r="BI30" s="22">
        <f t="shared" si="32"/>
        <v>0</v>
      </c>
      <c r="BJ30" s="30">
        <f t="shared" si="46"/>
        <v>0</v>
      </c>
      <c r="BO30" s="11">
        <v>0.47916666666666669</v>
      </c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S30" s="11">
        <v>0.47916666666666669</v>
      </c>
      <c r="CT30" s="16">
        <v>650</v>
      </c>
      <c r="CU30" s="16">
        <v>650</v>
      </c>
      <c r="CV30" s="16">
        <v>650</v>
      </c>
      <c r="CW30" s="16">
        <v>650</v>
      </c>
      <c r="CX30" s="16">
        <v>650</v>
      </c>
      <c r="CY30" s="16">
        <v>650</v>
      </c>
      <c r="CZ30" s="16">
        <v>650</v>
      </c>
      <c r="DA30" s="16">
        <v>584</v>
      </c>
      <c r="DB30" s="16">
        <v>584</v>
      </c>
      <c r="DC30" s="16">
        <v>584</v>
      </c>
      <c r="DD30" s="16">
        <v>584</v>
      </c>
      <c r="DE30" s="16">
        <v>584</v>
      </c>
      <c r="DF30" s="16">
        <v>584</v>
      </c>
      <c r="DG30" s="16">
        <v>584</v>
      </c>
      <c r="DH30" s="16">
        <v>617</v>
      </c>
      <c r="DI30" s="16">
        <v>617</v>
      </c>
      <c r="DJ30" s="16">
        <v>617</v>
      </c>
      <c r="DK30" s="16">
        <v>617</v>
      </c>
      <c r="DL30" s="16">
        <v>617</v>
      </c>
      <c r="DM30" s="16">
        <v>617</v>
      </c>
      <c r="DN30" s="16">
        <v>617</v>
      </c>
      <c r="DO30" s="16">
        <v>584</v>
      </c>
      <c r="DP30" s="16">
        <v>584</v>
      </c>
      <c r="DQ30" s="16">
        <v>584</v>
      </c>
      <c r="DR30" s="16">
        <v>584</v>
      </c>
      <c r="DS30" s="16">
        <v>584</v>
      </c>
      <c r="DT30" s="16">
        <v>584</v>
      </c>
      <c r="DU30" s="16">
        <v>584</v>
      </c>
    </row>
    <row r="31" spans="1:125" outlineLevel="1">
      <c r="A31" s="2">
        <f t="shared" si="43"/>
        <v>0.49999999999999978</v>
      </c>
      <c r="B31" s="4">
        <f t="shared" si="34"/>
        <v>0.49999999999999978</v>
      </c>
      <c r="D31" s="42"/>
      <c r="E31" s="40"/>
      <c r="F31" s="40"/>
      <c r="G31" s="40"/>
      <c r="H31" s="40"/>
      <c r="I31" s="40"/>
      <c r="J31" s="40"/>
      <c r="K31" s="40">
        <f t="shared" si="47"/>
        <v>0</v>
      </c>
      <c r="L31" s="40">
        <f t="shared" si="47"/>
        <v>0</v>
      </c>
      <c r="M31" s="40">
        <f t="shared" si="47"/>
        <v>0</v>
      </c>
      <c r="N31" s="40">
        <f t="shared" si="47"/>
        <v>0</v>
      </c>
      <c r="O31" s="40">
        <f t="shared" si="47"/>
        <v>0</v>
      </c>
      <c r="P31" s="40">
        <f t="shared" si="47"/>
        <v>0</v>
      </c>
      <c r="Q31" s="40">
        <f t="shared" si="47"/>
        <v>0</v>
      </c>
      <c r="R31" s="40">
        <f t="shared" si="47"/>
        <v>0</v>
      </c>
      <c r="S31" s="40">
        <f t="shared" si="47"/>
        <v>0</v>
      </c>
      <c r="T31" s="40">
        <f t="shared" si="47"/>
        <v>0</v>
      </c>
      <c r="U31" s="40">
        <f t="shared" si="47"/>
        <v>0</v>
      </c>
      <c r="V31" s="40">
        <f t="shared" si="48"/>
        <v>0</v>
      </c>
      <c r="W31" s="40">
        <f t="shared" si="48"/>
        <v>0</v>
      </c>
      <c r="X31" s="40">
        <f t="shared" si="48"/>
        <v>0</v>
      </c>
      <c r="Y31" s="40">
        <f t="shared" si="48"/>
        <v>0</v>
      </c>
      <c r="Z31" s="40">
        <f t="shared" si="44"/>
        <v>0</v>
      </c>
      <c r="AA31" s="32">
        <f>AA$6</f>
        <v>0</v>
      </c>
      <c r="AB31" s="32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1"/>
      <c r="AZ31" s="34"/>
      <c r="BA31" s="9">
        <f t="shared" si="37"/>
        <v>0</v>
      </c>
      <c r="BB31" s="6">
        <f>IF(BD31&lt;=0,0,Agents($A$1,$B$1,BD31*2,BE31))</f>
        <v>0</v>
      </c>
      <c r="BC31" s="9">
        <f t="shared" si="45"/>
        <v>0</v>
      </c>
      <c r="BD31" s="9">
        <f t="shared" si="38"/>
        <v>0</v>
      </c>
      <c r="BE31" s="9">
        <f t="shared" si="39"/>
        <v>0</v>
      </c>
      <c r="BF31" s="17">
        <f t="shared" si="40"/>
        <v>0</v>
      </c>
      <c r="BG31" s="17">
        <f t="shared" si="41"/>
        <v>0</v>
      </c>
      <c r="BH31" s="21">
        <f t="shared" si="42"/>
        <v>0</v>
      </c>
      <c r="BI31" s="22">
        <f t="shared" si="32"/>
        <v>0</v>
      </c>
      <c r="BJ31" s="30">
        <f t="shared" si="46"/>
        <v>0</v>
      </c>
      <c r="BO31" s="11">
        <v>0.5</v>
      </c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S31" s="11">
        <v>0.5</v>
      </c>
      <c r="CT31" s="16">
        <v>650</v>
      </c>
      <c r="CU31" s="16">
        <v>650</v>
      </c>
      <c r="CV31" s="16">
        <v>650</v>
      </c>
      <c r="CW31" s="16">
        <v>650</v>
      </c>
      <c r="CX31" s="16">
        <v>650</v>
      </c>
      <c r="CY31" s="16">
        <v>650</v>
      </c>
      <c r="CZ31" s="16">
        <v>650</v>
      </c>
      <c r="DA31" s="16">
        <v>584</v>
      </c>
      <c r="DB31" s="16">
        <v>584</v>
      </c>
      <c r="DC31" s="16">
        <v>584</v>
      </c>
      <c r="DD31" s="16">
        <v>584</v>
      </c>
      <c r="DE31" s="16">
        <v>584</v>
      </c>
      <c r="DF31" s="16">
        <v>584</v>
      </c>
      <c r="DG31" s="16">
        <v>584</v>
      </c>
      <c r="DH31" s="16">
        <v>617</v>
      </c>
      <c r="DI31" s="16">
        <v>617</v>
      </c>
      <c r="DJ31" s="16">
        <v>617</v>
      </c>
      <c r="DK31" s="16">
        <v>617</v>
      </c>
      <c r="DL31" s="16">
        <v>617</v>
      </c>
      <c r="DM31" s="16">
        <v>617</v>
      </c>
      <c r="DN31" s="16">
        <v>617</v>
      </c>
      <c r="DO31" s="16">
        <v>584</v>
      </c>
      <c r="DP31" s="16">
        <v>584</v>
      </c>
      <c r="DQ31" s="16">
        <v>584</v>
      </c>
      <c r="DR31" s="16">
        <v>584</v>
      </c>
      <c r="DS31" s="16">
        <v>584</v>
      </c>
      <c r="DT31" s="16">
        <v>584</v>
      </c>
      <c r="DU31" s="16">
        <v>584</v>
      </c>
    </row>
    <row r="32" spans="1:125" outlineLevel="1">
      <c r="A32" s="2">
        <f t="shared" si="43"/>
        <v>0.52083333333333315</v>
      </c>
      <c r="B32" s="4">
        <f t="shared" si="34"/>
        <v>0.52083333333333315</v>
      </c>
      <c r="D32" s="42"/>
      <c r="E32" s="40"/>
      <c r="F32" s="40"/>
      <c r="G32" s="40"/>
      <c r="H32" s="40"/>
      <c r="I32" s="40"/>
      <c r="J32" s="40"/>
      <c r="K32" s="40"/>
      <c r="L32" s="40">
        <f t="shared" si="47"/>
        <v>0</v>
      </c>
      <c r="M32" s="40">
        <f t="shared" si="47"/>
        <v>0</v>
      </c>
      <c r="N32" s="40">
        <f t="shared" si="47"/>
        <v>0</v>
      </c>
      <c r="O32" s="40">
        <f t="shared" si="47"/>
        <v>0</v>
      </c>
      <c r="P32" s="40">
        <f t="shared" si="47"/>
        <v>0</v>
      </c>
      <c r="Q32" s="40">
        <f t="shared" si="47"/>
        <v>0</v>
      </c>
      <c r="R32" s="40">
        <f t="shared" si="47"/>
        <v>0</v>
      </c>
      <c r="S32" s="40">
        <f t="shared" si="47"/>
        <v>0</v>
      </c>
      <c r="T32" s="40">
        <f t="shared" si="47"/>
        <v>0</v>
      </c>
      <c r="U32" s="40">
        <f t="shared" si="47"/>
        <v>0</v>
      </c>
      <c r="V32" s="40">
        <f t="shared" si="47"/>
        <v>0</v>
      </c>
      <c r="W32" s="40">
        <f t="shared" si="48"/>
        <v>0</v>
      </c>
      <c r="X32" s="40">
        <f t="shared" si="48"/>
        <v>0</v>
      </c>
      <c r="Y32" s="40">
        <f t="shared" si="48"/>
        <v>0</v>
      </c>
      <c r="Z32" s="40">
        <f t="shared" si="48"/>
        <v>0</v>
      </c>
      <c r="AA32" s="40">
        <f t="shared" si="44"/>
        <v>0</v>
      </c>
      <c r="AB32" s="32">
        <f>AB$6</f>
        <v>0</v>
      </c>
      <c r="AC32" s="32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1"/>
      <c r="AZ32" s="34"/>
      <c r="BA32" s="9">
        <f t="shared" si="37"/>
        <v>0</v>
      </c>
      <c r="BB32" s="6">
        <f>IF(BD32&lt;=0,0,Agents($A$1,$B$1,BD32*2,BE32))</f>
        <v>0</v>
      </c>
      <c r="BC32" s="9">
        <f t="shared" si="45"/>
        <v>0</v>
      </c>
      <c r="BD32" s="9">
        <f t="shared" si="38"/>
        <v>0</v>
      </c>
      <c r="BE32" s="9">
        <f t="shared" si="39"/>
        <v>0</v>
      </c>
      <c r="BF32" s="17">
        <f t="shared" si="40"/>
        <v>0</v>
      </c>
      <c r="BG32" s="17">
        <f t="shared" si="41"/>
        <v>0</v>
      </c>
      <c r="BH32" s="21">
        <f t="shared" si="42"/>
        <v>0</v>
      </c>
      <c r="BI32" s="22">
        <f t="shared" si="32"/>
        <v>0</v>
      </c>
      <c r="BJ32" s="30">
        <f t="shared" si="46"/>
        <v>0</v>
      </c>
      <c r="BO32" s="11">
        <v>0.52083333333333337</v>
      </c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S32" s="11">
        <v>0.52083333333333337</v>
      </c>
      <c r="CT32" s="16">
        <v>650</v>
      </c>
      <c r="CU32" s="16">
        <v>650</v>
      </c>
      <c r="CV32" s="16">
        <v>650</v>
      </c>
      <c r="CW32" s="16">
        <v>650</v>
      </c>
      <c r="CX32" s="16">
        <v>650</v>
      </c>
      <c r="CY32" s="16">
        <v>650</v>
      </c>
      <c r="CZ32" s="16">
        <v>650</v>
      </c>
      <c r="DA32" s="16">
        <v>584</v>
      </c>
      <c r="DB32" s="16">
        <v>584</v>
      </c>
      <c r="DC32" s="16">
        <v>584</v>
      </c>
      <c r="DD32" s="16">
        <v>584</v>
      </c>
      <c r="DE32" s="16">
        <v>584</v>
      </c>
      <c r="DF32" s="16">
        <v>584</v>
      </c>
      <c r="DG32" s="16">
        <v>584</v>
      </c>
      <c r="DH32" s="16">
        <v>617</v>
      </c>
      <c r="DI32" s="16">
        <v>617</v>
      </c>
      <c r="DJ32" s="16">
        <v>617</v>
      </c>
      <c r="DK32" s="16">
        <v>617</v>
      </c>
      <c r="DL32" s="16">
        <v>617</v>
      </c>
      <c r="DM32" s="16">
        <v>617</v>
      </c>
      <c r="DN32" s="16">
        <v>617</v>
      </c>
      <c r="DO32" s="16">
        <v>584</v>
      </c>
      <c r="DP32" s="16">
        <v>584</v>
      </c>
      <c r="DQ32" s="16">
        <v>584</v>
      </c>
      <c r="DR32" s="16">
        <v>584</v>
      </c>
      <c r="DS32" s="16">
        <v>584</v>
      </c>
      <c r="DT32" s="16">
        <v>584</v>
      </c>
      <c r="DU32" s="16">
        <v>584</v>
      </c>
    </row>
    <row r="33" spans="1:125" outlineLevel="1">
      <c r="A33" s="2">
        <f t="shared" si="43"/>
        <v>0.54166666666666652</v>
      </c>
      <c r="B33" s="4">
        <f t="shared" si="34"/>
        <v>0.54166666666666652</v>
      </c>
      <c r="D33" s="42"/>
      <c r="E33" s="40"/>
      <c r="F33" s="40"/>
      <c r="G33" s="40"/>
      <c r="H33" s="40"/>
      <c r="I33" s="40"/>
      <c r="J33" s="40"/>
      <c r="K33" s="40"/>
      <c r="L33" s="40"/>
      <c r="M33" s="40">
        <f t="shared" si="47"/>
        <v>0</v>
      </c>
      <c r="N33" s="40">
        <f t="shared" si="47"/>
        <v>0</v>
      </c>
      <c r="O33" s="40">
        <f t="shared" si="47"/>
        <v>0</v>
      </c>
      <c r="P33" s="40">
        <f t="shared" si="47"/>
        <v>0</v>
      </c>
      <c r="Q33" s="40">
        <f t="shared" si="47"/>
        <v>0</v>
      </c>
      <c r="R33" s="40">
        <f t="shared" si="47"/>
        <v>0</v>
      </c>
      <c r="S33" s="40">
        <f t="shared" si="47"/>
        <v>0</v>
      </c>
      <c r="T33" s="40">
        <f t="shared" si="47"/>
        <v>0</v>
      </c>
      <c r="U33" s="40">
        <f t="shared" si="47"/>
        <v>0</v>
      </c>
      <c r="V33" s="40">
        <f t="shared" si="47"/>
        <v>0</v>
      </c>
      <c r="W33" s="40">
        <f t="shared" si="47"/>
        <v>0</v>
      </c>
      <c r="X33" s="40">
        <f t="shared" si="48"/>
        <v>0</v>
      </c>
      <c r="Y33" s="40">
        <f t="shared" si="48"/>
        <v>0</v>
      </c>
      <c r="Z33" s="40">
        <f t="shared" si="48"/>
        <v>0</v>
      </c>
      <c r="AA33" s="40">
        <f t="shared" si="48"/>
        <v>0</v>
      </c>
      <c r="AB33" s="40">
        <f t="shared" si="44"/>
        <v>0</v>
      </c>
      <c r="AC33" s="32">
        <f>AC$6</f>
        <v>0</v>
      </c>
      <c r="AD33" s="32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1"/>
      <c r="AZ33" s="34"/>
      <c r="BA33" s="9">
        <f t="shared" si="37"/>
        <v>0</v>
      </c>
      <c r="BB33" s="6">
        <f>IF(BD33&lt;=0,0,Agents($A$1,$B$1,BD33*2,BE33))</f>
        <v>0</v>
      </c>
      <c r="BC33" s="9">
        <f t="shared" si="45"/>
        <v>0</v>
      </c>
      <c r="BD33" s="9">
        <f t="shared" si="38"/>
        <v>0</v>
      </c>
      <c r="BE33" s="9">
        <f t="shared" si="39"/>
        <v>0</v>
      </c>
      <c r="BF33" s="17">
        <f t="shared" si="40"/>
        <v>0</v>
      </c>
      <c r="BG33" s="17">
        <f t="shared" si="41"/>
        <v>0</v>
      </c>
      <c r="BH33" s="21">
        <f t="shared" si="42"/>
        <v>0</v>
      </c>
      <c r="BI33" s="22">
        <f t="shared" si="32"/>
        <v>0</v>
      </c>
      <c r="BJ33" s="30">
        <f t="shared" si="46"/>
        <v>0</v>
      </c>
      <c r="BO33" s="11">
        <v>0.54166666666666663</v>
      </c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S33" s="11">
        <v>0.54166666666666663</v>
      </c>
      <c r="CT33" s="16">
        <v>650</v>
      </c>
      <c r="CU33" s="16">
        <v>650</v>
      </c>
      <c r="CV33" s="16">
        <v>650</v>
      </c>
      <c r="CW33" s="16">
        <v>650</v>
      </c>
      <c r="CX33" s="16">
        <v>650</v>
      </c>
      <c r="CY33" s="16">
        <v>650</v>
      </c>
      <c r="CZ33" s="16">
        <v>650</v>
      </c>
      <c r="DA33" s="16">
        <v>584</v>
      </c>
      <c r="DB33" s="16">
        <v>584</v>
      </c>
      <c r="DC33" s="16">
        <v>584</v>
      </c>
      <c r="DD33" s="16">
        <v>584</v>
      </c>
      <c r="DE33" s="16">
        <v>584</v>
      </c>
      <c r="DF33" s="16">
        <v>584</v>
      </c>
      <c r="DG33" s="16">
        <v>584</v>
      </c>
      <c r="DH33" s="16">
        <v>617</v>
      </c>
      <c r="DI33" s="16">
        <v>617</v>
      </c>
      <c r="DJ33" s="16">
        <v>617</v>
      </c>
      <c r="DK33" s="16">
        <v>617</v>
      </c>
      <c r="DL33" s="16">
        <v>617</v>
      </c>
      <c r="DM33" s="16">
        <v>617</v>
      </c>
      <c r="DN33" s="16">
        <v>617</v>
      </c>
      <c r="DO33" s="16">
        <v>584</v>
      </c>
      <c r="DP33" s="16">
        <v>584</v>
      </c>
      <c r="DQ33" s="16">
        <v>584</v>
      </c>
      <c r="DR33" s="16">
        <v>584</v>
      </c>
      <c r="DS33" s="16">
        <v>584</v>
      </c>
      <c r="DT33" s="16">
        <v>584</v>
      </c>
      <c r="DU33" s="16">
        <v>584</v>
      </c>
    </row>
    <row r="34" spans="1:125" outlineLevel="1">
      <c r="A34" s="2">
        <f t="shared" si="43"/>
        <v>0.56249999999999989</v>
      </c>
      <c r="B34" s="4">
        <f t="shared" si="34"/>
        <v>0.56249999999999989</v>
      </c>
      <c r="D34" s="42"/>
      <c r="E34" s="40"/>
      <c r="F34" s="40"/>
      <c r="G34" s="40"/>
      <c r="H34" s="40"/>
      <c r="I34" s="40"/>
      <c r="J34" s="40"/>
      <c r="K34" s="40"/>
      <c r="L34" s="40"/>
      <c r="M34" s="40"/>
      <c r="N34" s="40">
        <f t="shared" si="47"/>
        <v>0</v>
      </c>
      <c r="O34" s="40">
        <f t="shared" si="47"/>
        <v>0</v>
      </c>
      <c r="P34" s="40">
        <f t="shared" si="47"/>
        <v>0</v>
      </c>
      <c r="Q34" s="40">
        <f t="shared" si="47"/>
        <v>0</v>
      </c>
      <c r="R34" s="40">
        <f t="shared" si="47"/>
        <v>0</v>
      </c>
      <c r="S34" s="40">
        <f t="shared" si="47"/>
        <v>0</v>
      </c>
      <c r="T34" s="40">
        <f t="shared" si="47"/>
        <v>0</v>
      </c>
      <c r="U34" s="40">
        <f t="shared" si="47"/>
        <v>0</v>
      </c>
      <c r="V34" s="40">
        <f t="shared" si="47"/>
        <v>0</v>
      </c>
      <c r="W34" s="40">
        <f t="shared" si="47"/>
        <v>0</v>
      </c>
      <c r="X34" s="40">
        <f t="shared" si="47"/>
        <v>0</v>
      </c>
      <c r="Y34" s="40">
        <f t="shared" si="48"/>
        <v>0</v>
      </c>
      <c r="Z34" s="40">
        <f t="shared" si="48"/>
        <v>0</v>
      </c>
      <c r="AA34" s="40">
        <f t="shared" si="48"/>
        <v>0</v>
      </c>
      <c r="AB34" s="40">
        <f t="shared" si="48"/>
        <v>0</v>
      </c>
      <c r="AC34" s="40">
        <f t="shared" si="44"/>
        <v>0</v>
      </c>
      <c r="AD34" s="32">
        <f>AD$6</f>
        <v>0</v>
      </c>
      <c r="AE34" s="32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1"/>
      <c r="AZ34" s="34"/>
      <c r="BA34" s="9">
        <f t="shared" si="37"/>
        <v>0</v>
      </c>
      <c r="BB34" s="6">
        <f>IF(BD34&lt;=0,0,Agents($A$1,$B$1,BD34*2,BE34))</f>
        <v>0</v>
      </c>
      <c r="BC34" s="9">
        <f t="shared" si="45"/>
        <v>0</v>
      </c>
      <c r="BD34" s="9">
        <f t="shared" si="38"/>
        <v>0</v>
      </c>
      <c r="BE34" s="9">
        <f t="shared" si="39"/>
        <v>0</v>
      </c>
      <c r="BF34" s="17">
        <f t="shared" si="40"/>
        <v>0</v>
      </c>
      <c r="BG34" s="17">
        <f t="shared" si="41"/>
        <v>0</v>
      </c>
      <c r="BH34" s="21">
        <f t="shared" si="42"/>
        <v>0</v>
      </c>
      <c r="BI34" s="22">
        <f t="shared" si="32"/>
        <v>0</v>
      </c>
      <c r="BJ34" s="30">
        <f t="shared" si="46"/>
        <v>0</v>
      </c>
      <c r="BO34" s="11">
        <v>0.5625</v>
      </c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S34" s="11">
        <v>0.5625</v>
      </c>
      <c r="CT34" s="16">
        <v>650</v>
      </c>
      <c r="CU34" s="16">
        <v>650</v>
      </c>
      <c r="CV34" s="16">
        <v>650</v>
      </c>
      <c r="CW34" s="16">
        <v>650</v>
      </c>
      <c r="CX34" s="16">
        <v>650</v>
      </c>
      <c r="CY34" s="16">
        <v>650</v>
      </c>
      <c r="CZ34" s="16">
        <v>650</v>
      </c>
      <c r="DA34" s="16">
        <v>584</v>
      </c>
      <c r="DB34" s="16">
        <v>584</v>
      </c>
      <c r="DC34" s="16">
        <v>584</v>
      </c>
      <c r="DD34" s="16">
        <v>584</v>
      </c>
      <c r="DE34" s="16">
        <v>584</v>
      </c>
      <c r="DF34" s="16">
        <v>584</v>
      </c>
      <c r="DG34" s="16">
        <v>584</v>
      </c>
      <c r="DH34" s="16">
        <v>617</v>
      </c>
      <c r="DI34" s="16">
        <v>617</v>
      </c>
      <c r="DJ34" s="16">
        <v>617</v>
      </c>
      <c r="DK34" s="16">
        <v>617</v>
      </c>
      <c r="DL34" s="16">
        <v>617</v>
      </c>
      <c r="DM34" s="16">
        <v>617</v>
      </c>
      <c r="DN34" s="16">
        <v>617</v>
      </c>
      <c r="DO34" s="16">
        <v>584</v>
      </c>
      <c r="DP34" s="16">
        <v>584</v>
      </c>
      <c r="DQ34" s="16">
        <v>584</v>
      </c>
      <c r="DR34" s="16">
        <v>584</v>
      </c>
      <c r="DS34" s="16">
        <v>584</v>
      </c>
      <c r="DT34" s="16">
        <v>584</v>
      </c>
      <c r="DU34" s="16">
        <v>584</v>
      </c>
    </row>
    <row r="35" spans="1:125" outlineLevel="1">
      <c r="A35" s="2">
        <f t="shared" si="43"/>
        <v>0.58333333333333326</v>
      </c>
      <c r="B35" s="4">
        <f t="shared" si="34"/>
        <v>0.58333333333333326</v>
      </c>
      <c r="D35" s="42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>
        <f t="shared" si="47"/>
        <v>0</v>
      </c>
      <c r="P35" s="40">
        <f t="shared" si="47"/>
        <v>0</v>
      </c>
      <c r="Q35" s="40">
        <f t="shared" si="47"/>
        <v>0</v>
      </c>
      <c r="R35" s="40">
        <f t="shared" si="47"/>
        <v>0</v>
      </c>
      <c r="S35" s="40">
        <f t="shared" si="47"/>
        <v>0</v>
      </c>
      <c r="T35" s="40">
        <f t="shared" si="47"/>
        <v>0</v>
      </c>
      <c r="U35" s="40">
        <f t="shared" si="47"/>
        <v>0</v>
      </c>
      <c r="V35" s="40">
        <f t="shared" si="47"/>
        <v>0</v>
      </c>
      <c r="W35" s="40">
        <f t="shared" si="47"/>
        <v>0</v>
      </c>
      <c r="X35" s="40">
        <f t="shared" si="47"/>
        <v>0</v>
      </c>
      <c r="Y35" s="40">
        <f t="shared" si="47"/>
        <v>0</v>
      </c>
      <c r="Z35" s="40">
        <f t="shared" si="48"/>
        <v>0</v>
      </c>
      <c r="AA35" s="40">
        <f t="shared" si="48"/>
        <v>0</v>
      </c>
      <c r="AB35" s="40">
        <f t="shared" si="48"/>
        <v>0</v>
      </c>
      <c r="AC35" s="40">
        <f t="shared" si="48"/>
        <v>0</v>
      </c>
      <c r="AD35" s="40">
        <f t="shared" si="44"/>
        <v>0</v>
      </c>
      <c r="AE35" s="32">
        <f>AE$6</f>
        <v>0</v>
      </c>
      <c r="AF35" s="32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1"/>
      <c r="AZ35" s="34"/>
      <c r="BA35" s="9">
        <f t="shared" si="37"/>
        <v>0</v>
      </c>
      <c r="BB35" s="6">
        <f>IF(BD35&lt;=0,0,Agents($A$1,$B$1,BD35*2,BE35))</f>
        <v>0</v>
      </c>
      <c r="BC35" s="9">
        <f t="shared" si="45"/>
        <v>0</v>
      </c>
      <c r="BD35" s="9">
        <f t="shared" si="38"/>
        <v>0</v>
      </c>
      <c r="BE35" s="9">
        <f t="shared" si="39"/>
        <v>0</v>
      </c>
      <c r="BF35" s="17">
        <f t="shared" si="40"/>
        <v>0</v>
      </c>
      <c r="BG35" s="17">
        <f t="shared" si="41"/>
        <v>0</v>
      </c>
      <c r="BH35" s="21">
        <f t="shared" si="42"/>
        <v>0</v>
      </c>
      <c r="BI35" s="22">
        <f t="shared" si="32"/>
        <v>0</v>
      </c>
      <c r="BJ35" s="30">
        <f t="shared" si="46"/>
        <v>0</v>
      </c>
      <c r="BO35" s="11">
        <v>0.58333333333333337</v>
      </c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S35" s="11">
        <v>0.58333333333333337</v>
      </c>
      <c r="CT35" s="16">
        <v>650</v>
      </c>
      <c r="CU35" s="16">
        <v>650</v>
      </c>
      <c r="CV35" s="16">
        <v>650</v>
      </c>
      <c r="CW35" s="16">
        <v>650</v>
      </c>
      <c r="CX35" s="16">
        <v>650</v>
      </c>
      <c r="CY35" s="16">
        <v>650</v>
      </c>
      <c r="CZ35" s="16">
        <v>650</v>
      </c>
      <c r="DA35" s="16">
        <v>584</v>
      </c>
      <c r="DB35" s="16">
        <v>584</v>
      </c>
      <c r="DC35" s="16">
        <v>584</v>
      </c>
      <c r="DD35" s="16">
        <v>584</v>
      </c>
      <c r="DE35" s="16">
        <v>584</v>
      </c>
      <c r="DF35" s="16">
        <v>584</v>
      </c>
      <c r="DG35" s="16">
        <v>584</v>
      </c>
      <c r="DH35" s="16">
        <v>617</v>
      </c>
      <c r="DI35" s="16">
        <v>617</v>
      </c>
      <c r="DJ35" s="16">
        <v>617</v>
      </c>
      <c r="DK35" s="16">
        <v>617</v>
      </c>
      <c r="DL35" s="16">
        <v>617</v>
      </c>
      <c r="DM35" s="16">
        <v>617</v>
      </c>
      <c r="DN35" s="16">
        <v>617</v>
      </c>
      <c r="DO35" s="16">
        <v>584</v>
      </c>
      <c r="DP35" s="16">
        <v>584</v>
      </c>
      <c r="DQ35" s="16">
        <v>584</v>
      </c>
      <c r="DR35" s="16">
        <v>584</v>
      </c>
      <c r="DS35" s="16">
        <v>584</v>
      </c>
      <c r="DT35" s="16">
        <v>584</v>
      </c>
      <c r="DU35" s="16">
        <v>584</v>
      </c>
    </row>
    <row r="36" spans="1:125" outlineLevel="1">
      <c r="A36" s="2">
        <f t="shared" si="43"/>
        <v>0.60416666666666663</v>
      </c>
      <c r="B36" s="4">
        <f t="shared" si="34"/>
        <v>0.60416666666666663</v>
      </c>
      <c r="D36" s="42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>
        <f t="shared" si="47"/>
        <v>0</v>
      </c>
      <c r="Q36" s="40">
        <f t="shared" si="47"/>
        <v>0</v>
      </c>
      <c r="R36" s="40">
        <f t="shared" si="47"/>
        <v>0</v>
      </c>
      <c r="S36" s="40">
        <f t="shared" si="47"/>
        <v>0</v>
      </c>
      <c r="T36" s="40">
        <f t="shared" si="47"/>
        <v>0</v>
      </c>
      <c r="U36" s="40">
        <f t="shared" si="47"/>
        <v>0</v>
      </c>
      <c r="V36" s="40">
        <f t="shared" si="47"/>
        <v>0</v>
      </c>
      <c r="W36" s="40">
        <f t="shared" si="47"/>
        <v>0</v>
      </c>
      <c r="X36" s="40">
        <f t="shared" si="47"/>
        <v>0</v>
      </c>
      <c r="Y36" s="40">
        <f t="shared" si="47"/>
        <v>0</v>
      </c>
      <c r="Z36" s="40">
        <f t="shared" si="47"/>
        <v>0</v>
      </c>
      <c r="AA36" s="40">
        <f t="shared" si="48"/>
        <v>0</v>
      </c>
      <c r="AB36" s="40">
        <f t="shared" si="48"/>
        <v>0</v>
      </c>
      <c r="AC36" s="40">
        <f t="shared" si="48"/>
        <v>0</v>
      </c>
      <c r="AD36" s="40">
        <f t="shared" si="48"/>
        <v>0</v>
      </c>
      <c r="AE36" s="40">
        <f t="shared" si="44"/>
        <v>0</v>
      </c>
      <c r="AF36" s="40">
        <f>AF$6</f>
        <v>0</v>
      </c>
      <c r="AG36" s="32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1"/>
      <c r="AZ36" s="34"/>
      <c r="BA36" s="9">
        <f t="shared" si="37"/>
        <v>0</v>
      </c>
      <c r="BB36" s="6">
        <f>IF(BD36&lt;=0,0,Agents($A$1,$B$1,BD36*2,BE36))</f>
        <v>0</v>
      </c>
      <c r="BC36" s="9">
        <f t="shared" si="45"/>
        <v>0</v>
      </c>
      <c r="BD36" s="9">
        <f t="shared" si="38"/>
        <v>0</v>
      </c>
      <c r="BE36" s="9">
        <f t="shared" si="39"/>
        <v>0</v>
      </c>
      <c r="BF36" s="17">
        <f t="shared" si="40"/>
        <v>0</v>
      </c>
      <c r="BG36" s="17">
        <f t="shared" si="41"/>
        <v>0</v>
      </c>
      <c r="BH36" s="21">
        <f t="shared" si="42"/>
        <v>0</v>
      </c>
      <c r="BI36" s="22">
        <f t="shared" si="32"/>
        <v>0</v>
      </c>
      <c r="BJ36" s="30">
        <f t="shared" si="46"/>
        <v>0</v>
      </c>
      <c r="BO36" s="11">
        <v>0.60416666666666663</v>
      </c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S36" s="11">
        <v>0.60416666666666663</v>
      </c>
      <c r="CT36" s="16">
        <v>650</v>
      </c>
      <c r="CU36" s="16">
        <v>650</v>
      </c>
      <c r="CV36" s="16">
        <v>650</v>
      </c>
      <c r="CW36" s="16">
        <v>650</v>
      </c>
      <c r="CX36" s="16">
        <v>650</v>
      </c>
      <c r="CY36" s="16">
        <v>650</v>
      </c>
      <c r="CZ36" s="16">
        <v>650</v>
      </c>
      <c r="DA36" s="16">
        <v>584</v>
      </c>
      <c r="DB36" s="16">
        <v>584</v>
      </c>
      <c r="DC36" s="16">
        <v>584</v>
      </c>
      <c r="DD36" s="16">
        <v>584</v>
      </c>
      <c r="DE36" s="16">
        <v>584</v>
      </c>
      <c r="DF36" s="16">
        <v>584</v>
      </c>
      <c r="DG36" s="16">
        <v>584</v>
      </c>
      <c r="DH36" s="16">
        <v>617</v>
      </c>
      <c r="DI36" s="16">
        <v>617</v>
      </c>
      <c r="DJ36" s="16">
        <v>617</v>
      </c>
      <c r="DK36" s="16">
        <v>617</v>
      </c>
      <c r="DL36" s="16">
        <v>617</v>
      </c>
      <c r="DM36" s="16">
        <v>617</v>
      </c>
      <c r="DN36" s="16">
        <v>617</v>
      </c>
      <c r="DO36" s="16">
        <v>584</v>
      </c>
      <c r="DP36" s="16">
        <v>584</v>
      </c>
      <c r="DQ36" s="16">
        <v>584</v>
      </c>
      <c r="DR36" s="16">
        <v>584</v>
      </c>
      <c r="DS36" s="16">
        <v>584</v>
      </c>
      <c r="DT36" s="16">
        <v>584</v>
      </c>
      <c r="DU36" s="16">
        <v>584</v>
      </c>
    </row>
    <row r="37" spans="1:125" outlineLevel="1">
      <c r="A37" s="2">
        <f t="shared" si="43"/>
        <v>0.625</v>
      </c>
      <c r="B37" s="4">
        <f t="shared" si="34"/>
        <v>0.625</v>
      </c>
      <c r="D37" s="42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>
        <f t="shared" si="47"/>
        <v>0</v>
      </c>
      <c r="R37" s="40">
        <f t="shared" si="47"/>
        <v>0</v>
      </c>
      <c r="S37" s="40">
        <f t="shared" si="47"/>
        <v>0</v>
      </c>
      <c r="T37" s="40">
        <f t="shared" si="47"/>
        <v>0</v>
      </c>
      <c r="U37" s="40">
        <f t="shared" si="47"/>
        <v>0</v>
      </c>
      <c r="V37" s="40">
        <f t="shared" si="47"/>
        <v>0</v>
      </c>
      <c r="W37" s="40">
        <f t="shared" si="47"/>
        <v>0</v>
      </c>
      <c r="X37" s="40">
        <f t="shared" si="47"/>
        <v>0</v>
      </c>
      <c r="Y37" s="40">
        <f t="shared" si="47"/>
        <v>0</v>
      </c>
      <c r="Z37" s="40">
        <f t="shared" si="47"/>
        <v>0</v>
      </c>
      <c r="AA37" s="40">
        <f t="shared" si="47"/>
        <v>0</v>
      </c>
      <c r="AB37" s="40">
        <f t="shared" si="48"/>
        <v>0</v>
      </c>
      <c r="AC37" s="40">
        <f t="shared" si="48"/>
        <v>0</v>
      </c>
      <c r="AD37" s="40">
        <f t="shared" si="48"/>
        <v>0</v>
      </c>
      <c r="AE37" s="40">
        <f t="shared" si="48"/>
        <v>0</v>
      </c>
      <c r="AF37" s="40">
        <f t="shared" si="44"/>
        <v>0</v>
      </c>
      <c r="AG37" s="40">
        <f>AG$6</f>
        <v>0</v>
      </c>
      <c r="AH37" s="32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1"/>
      <c r="AZ37" s="34"/>
      <c r="BA37" s="9">
        <f t="shared" si="37"/>
        <v>0</v>
      </c>
      <c r="BB37" s="6">
        <f>IF(BD37&lt;=0,0,Agents($A$1,$B$1,BD37*2,BE37))</f>
        <v>0</v>
      </c>
      <c r="BC37" s="9">
        <f t="shared" si="45"/>
        <v>0</v>
      </c>
      <c r="BD37" s="9">
        <f t="shared" si="38"/>
        <v>0</v>
      </c>
      <c r="BE37" s="9">
        <f t="shared" si="39"/>
        <v>0</v>
      </c>
      <c r="BF37" s="17">
        <f t="shared" si="40"/>
        <v>0</v>
      </c>
      <c r="BG37" s="17">
        <f t="shared" si="41"/>
        <v>0</v>
      </c>
      <c r="BH37" s="21">
        <f t="shared" si="42"/>
        <v>0</v>
      </c>
      <c r="BI37" s="22">
        <f t="shared" si="32"/>
        <v>0</v>
      </c>
      <c r="BJ37" s="30">
        <f t="shared" si="46"/>
        <v>0</v>
      </c>
      <c r="BO37" s="11">
        <v>0.625</v>
      </c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S37" s="11">
        <v>0.625</v>
      </c>
      <c r="CT37" s="16">
        <v>650</v>
      </c>
      <c r="CU37" s="16">
        <v>650</v>
      </c>
      <c r="CV37" s="16">
        <v>650</v>
      </c>
      <c r="CW37" s="16">
        <v>650</v>
      </c>
      <c r="CX37" s="16">
        <v>650</v>
      </c>
      <c r="CY37" s="16">
        <v>650</v>
      </c>
      <c r="CZ37" s="16">
        <v>650</v>
      </c>
      <c r="DA37" s="16">
        <v>584</v>
      </c>
      <c r="DB37" s="16">
        <v>584</v>
      </c>
      <c r="DC37" s="16">
        <v>584</v>
      </c>
      <c r="DD37" s="16">
        <v>584</v>
      </c>
      <c r="DE37" s="16">
        <v>584</v>
      </c>
      <c r="DF37" s="16">
        <v>584</v>
      </c>
      <c r="DG37" s="16">
        <v>584</v>
      </c>
      <c r="DH37" s="16">
        <v>617</v>
      </c>
      <c r="DI37" s="16">
        <v>617</v>
      </c>
      <c r="DJ37" s="16">
        <v>617</v>
      </c>
      <c r="DK37" s="16">
        <v>617</v>
      </c>
      <c r="DL37" s="16">
        <v>617</v>
      </c>
      <c r="DM37" s="16">
        <v>617</v>
      </c>
      <c r="DN37" s="16">
        <v>617</v>
      </c>
      <c r="DO37" s="16">
        <v>584</v>
      </c>
      <c r="DP37" s="16">
        <v>584</v>
      </c>
      <c r="DQ37" s="16">
        <v>584</v>
      </c>
      <c r="DR37" s="16">
        <v>584</v>
      </c>
      <c r="DS37" s="16">
        <v>584</v>
      </c>
      <c r="DT37" s="16">
        <v>584</v>
      </c>
      <c r="DU37" s="16">
        <v>584</v>
      </c>
    </row>
    <row r="38" spans="1:125" outlineLevel="1">
      <c r="A38" s="2">
        <f t="shared" si="43"/>
        <v>0.64583333333333337</v>
      </c>
      <c r="B38" s="4">
        <f t="shared" si="34"/>
        <v>0.64583333333333337</v>
      </c>
      <c r="D38" s="42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>
        <f t="shared" si="47"/>
        <v>0</v>
      </c>
      <c r="S38" s="40">
        <f t="shared" si="47"/>
        <v>0</v>
      </c>
      <c r="T38" s="40">
        <f t="shared" si="47"/>
        <v>0</v>
      </c>
      <c r="U38" s="40">
        <f t="shared" si="47"/>
        <v>0</v>
      </c>
      <c r="V38" s="40">
        <f t="shared" si="47"/>
        <v>0</v>
      </c>
      <c r="W38" s="40">
        <f t="shared" si="47"/>
        <v>0</v>
      </c>
      <c r="X38" s="40">
        <f t="shared" si="47"/>
        <v>0</v>
      </c>
      <c r="Y38" s="40">
        <f t="shared" si="47"/>
        <v>0</v>
      </c>
      <c r="Z38" s="40">
        <f t="shared" si="47"/>
        <v>0</v>
      </c>
      <c r="AA38" s="40">
        <f t="shared" si="47"/>
        <v>0</v>
      </c>
      <c r="AB38" s="40">
        <f t="shared" si="47"/>
        <v>0</v>
      </c>
      <c r="AC38" s="40">
        <f t="shared" si="48"/>
        <v>0</v>
      </c>
      <c r="AD38" s="40">
        <f t="shared" si="48"/>
        <v>0</v>
      </c>
      <c r="AE38" s="40">
        <f t="shared" si="48"/>
        <v>0</v>
      </c>
      <c r="AF38" s="40">
        <f t="shared" si="48"/>
        <v>0</v>
      </c>
      <c r="AG38" s="40">
        <f t="shared" si="44"/>
        <v>0</v>
      </c>
      <c r="AH38" s="40">
        <f>AH$6</f>
        <v>0</v>
      </c>
      <c r="AI38" s="32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1"/>
      <c r="AZ38" s="34"/>
      <c r="BA38" s="9">
        <f t="shared" si="37"/>
        <v>0</v>
      </c>
      <c r="BB38" s="6">
        <f>IF(BD38&lt;=0,0,Agents($A$1,$B$1,BD38*2,BE38))</f>
        <v>0</v>
      </c>
      <c r="BC38" s="9">
        <f t="shared" si="45"/>
        <v>0</v>
      </c>
      <c r="BD38" s="9">
        <f t="shared" si="38"/>
        <v>0</v>
      </c>
      <c r="BE38" s="9">
        <f t="shared" si="39"/>
        <v>0</v>
      </c>
      <c r="BF38" s="17">
        <f t="shared" si="40"/>
        <v>0</v>
      </c>
      <c r="BG38" s="17">
        <f t="shared" si="41"/>
        <v>0</v>
      </c>
      <c r="BH38" s="21">
        <f t="shared" si="42"/>
        <v>0</v>
      </c>
      <c r="BI38" s="22">
        <f t="shared" si="32"/>
        <v>0</v>
      </c>
      <c r="BJ38" s="30">
        <f t="shared" si="46"/>
        <v>0</v>
      </c>
      <c r="BO38" s="11">
        <v>0.64583333333333337</v>
      </c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S38" s="11">
        <v>0.64583333333333337</v>
      </c>
      <c r="CT38" s="16">
        <v>650</v>
      </c>
      <c r="CU38" s="16">
        <v>650</v>
      </c>
      <c r="CV38" s="16">
        <v>650</v>
      </c>
      <c r="CW38" s="16">
        <v>650</v>
      </c>
      <c r="CX38" s="16">
        <v>650</v>
      </c>
      <c r="CY38" s="16">
        <v>650</v>
      </c>
      <c r="CZ38" s="16">
        <v>650</v>
      </c>
      <c r="DA38" s="16">
        <v>584</v>
      </c>
      <c r="DB38" s="16">
        <v>584</v>
      </c>
      <c r="DC38" s="16">
        <v>584</v>
      </c>
      <c r="DD38" s="16">
        <v>584</v>
      </c>
      <c r="DE38" s="16">
        <v>584</v>
      </c>
      <c r="DF38" s="16">
        <v>584</v>
      </c>
      <c r="DG38" s="16">
        <v>584</v>
      </c>
      <c r="DH38" s="16">
        <v>617</v>
      </c>
      <c r="DI38" s="16">
        <v>617</v>
      </c>
      <c r="DJ38" s="16">
        <v>617</v>
      </c>
      <c r="DK38" s="16">
        <v>617</v>
      </c>
      <c r="DL38" s="16">
        <v>617</v>
      </c>
      <c r="DM38" s="16">
        <v>617</v>
      </c>
      <c r="DN38" s="16">
        <v>617</v>
      </c>
      <c r="DO38" s="16">
        <v>584</v>
      </c>
      <c r="DP38" s="16">
        <v>584</v>
      </c>
      <c r="DQ38" s="16">
        <v>584</v>
      </c>
      <c r="DR38" s="16">
        <v>584</v>
      </c>
      <c r="DS38" s="16">
        <v>584</v>
      </c>
      <c r="DT38" s="16">
        <v>584</v>
      </c>
      <c r="DU38" s="16">
        <v>584</v>
      </c>
    </row>
    <row r="39" spans="1:125" outlineLevel="1">
      <c r="A39" s="2">
        <f t="shared" si="43"/>
        <v>0.66666666666666674</v>
      </c>
      <c r="B39" s="4">
        <f t="shared" si="34"/>
        <v>0.66666666666666674</v>
      </c>
      <c r="D39" s="42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>
        <f t="shared" si="47"/>
        <v>0</v>
      </c>
      <c r="T39" s="40">
        <f t="shared" si="47"/>
        <v>0</v>
      </c>
      <c r="U39" s="40">
        <f t="shared" si="47"/>
        <v>0</v>
      </c>
      <c r="V39" s="40">
        <f t="shared" si="47"/>
        <v>0</v>
      </c>
      <c r="W39" s="40">
        <f t="shared" si="47"/>
        <v>0</v>
      </c>
      <c r="X39" s="40">
        <f t="shared" si="47"/>
        <v>0</v>
      </c>
      <c r="Y39" s="40">
        <f t="shared" si="47"/>
        <v>0</v>
      </c>
      <c r="Z39" s="40">
        <f t="shared" si="47"/>
        <v>0</v>
      </c>
      <c r="AA39" s="40">
        <f t="shared" si="47"/>
        <v>0</v>
      </c>
      <c r="AB39" s="40">
        <f t="shared" si="47"/>
        <v>0</v>
      </c>
      <c r="AC39" s="40">
        <f t="shared" si="47"/>
        <v>0</v>
      </c>
      <c r="AD39" s="40">
        <f t="shared" si="48"/>
        <v>0</v>
      </c>
      <c r="AE39" s="40">
        <f t="shared" si="48"/>
        <v>0</v>
      </c>
      <c r="AF39" s="40">
        <f t="shared" si="48"/>
        <v>0</v>
      </c>
      <c r="AG39" s="40">
        <f t="shared" si="48"/>
        <v>0</v>
      </c>
      <c r="AH39" s="40">
        <f t="shared" si="44"/>
        <v>0</v>
      </c>
      <c r="AI39" s="40">
        <f>AI$6</f>
        <v>0</v>
      </c>
      <c r="AJ39" s="32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1"/>
      <c r="AZ39" s="34"/>
      <c r="BA39" s="9">
        <f t="shared" si="37"/>
        <v>0</v>
      </c>
      <c r="BB39" s="6">
        <f>IF(BD39&lt;=0,0,Agents($A$1,$B$1,BD39*2,BE39))</f>
        <v>0</v>
      </c>
      <c r="BC39" s="9">
        <f t="shared" si="45"/>
        <v>0</v>
      </c>
      <c r="BD39" s="9">
        <f t="shared" si="38"/>
        <v>0</v>
      </c>
      <c r="BE39" s="9">
        <f t="shared" si="39"/>
        <v>0</v>
      </c>
      <c r="BF39" s="17">
        <f t="shared" si="40"/>
        <v>0</v>
      </c>
      <c r="BG39" s="17">
        <f t="shared" si="41"/>
        <v>0</v>
      </c>
      <c r="BH39" s="21">
        <f t="shared" si="42"/>
        <v>0</v>
      </c>
      <c r="BI39" s="22">
        <f t="shared" si="32"/>
        <v>0</v>
      </c>
      <c r="BJ39" s="30">
        <f t="shared" si="46"/>
        <v>0</v>
      </c>
      <c r="BO39" s="11">
        <v>0.66666666666666663</v>
      </c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S39" s="11">
        <v>0.66666666666666663</v>
      </c>
      <c r="CT39" s="16">
        <v>650</v>
      </c>
      <c r="CU39" s="16">
        <v>650</v>
      </c>
      <c r="CV39" s="16">
        <v>650</v>
      </c>
      <c r="CW39" s="16">
        <v>650</v>
      </c>
      <c r="CX39" s="16">
        <v>650</v>
      </c>
      <c r="CY39" s="16">
        <v>650</v>
      </c>
      <c r="CZ39" s="16">
        <v>650</v>
      </c>
      <c r="DA39" s="16">
        <v>584</v>
      </c>
      <c r="DB39" s="16">
        <v>584</v>
      </c>
      <c r="DC39" s="16">
        <v>584</v>
      </c>
      <c r="DD39" s="16">
        <v>584</v>
      </c>
      <c r="DE39" s="16">
        <v>584</v>
      </c>
      <c r="DF39" s="16">
        <v>584</v>
      </c>
      <c r="DG39" s="16">
        <v>584</v>
      </c>
      <c r="DH39" s="16">
        <v>617</v>
      </c>
      <c r="DI39" s="16">
        <v>617</v>
      </c>
      <c r="DJ39" s="16">
        <v>617</v>
      </c>
      <c r="DK39" s="16">
        <v>617</v>
      </c>
      <c r="DL39" s="16">
        <v>617</v>
      </c>
      <c r="DM39" s="16">
        <v>617</v>
      </c>
      <c r="DN39" s="16">
        <v>617</v>
      </c>
      <c r="DO39" s="16">
        <v>584</v>
      </c>
      <c r="DP39" s="16">
        <v>584</v>
      </c>
      <c r="DQ39" s="16">
        <v>584</v>
      </c>
      <c r="DR39" s="16">
        <v>584</v>
      </c>
      <c r="DS39" s="16">
        <v>584</v>
      </c>
      <c r="DT39" s="16">
        <v>584</v>
      </c>
      <c r="DU39" s="16">
        <v>584</v>
      </c>
    </row>
    <row r="40" spans="1:125" outlineLevel="1">
      <c r="A40" s="2">
        <f t="shared" si="43"/>
        <v>0.68750000000000011</v>
      </c>
      <c r="B40" s="4">
        <f t="shared" si="34"/>
        <v>0.68750000000000011</v>
      </c>
      <c r="D40" s="42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>
        <f t="shared" si="47"/>
        <v>0</v>
      </c>
      <c r="U40" s="40">
        <f t="shared" si="47"/>
        <v>0</v>
      </c>
      <c r="V40" s="40">
        <f t="shared" si="47"/>
        <v>0</v>
      </c>
      <c r="W40" s="40">
        <f t="shared" si="47"/>
        <v>0</v>
      </c>
      <c r="X40" s="40">
        <f t="shared" si="47"/>
        <v>0</v>
      </c>
      <c r="Y40" s="40">
        <f t="shared" si="47"/>
        <v>0</v>
      </c>
      <c r="Z40" s="40">
        <f t="shared" si="47"/>
        <v>0</v>
      </c>
      <c r="AA40" s="40">
        <f t="shared" si="47"/>
        <v>0</v>
      </c>
      <c r="AB40" s="40">
        <f t="shared" si="47"/>
        <v>0</v>
      </c>
      <c r="AC40" s="40">
        <f t="shared" si="47"/>
        <v>0</v>
      </c>
      <c r="AD40" s="40">
        <f t="shared" si="47"/>
        <v>0</v>
      </c>
      <c r="AE40" s="40">
        <f t="shared" si="48"/>
        <v>0</v>
      </c>
      <c r="AF40" s="40">
        <f t="shared" si="48"/>
        <v>0</v>
      </c>
      <c r="AG40" s="40">
        <f t="shared" si="48"/>
        <v>0</v>
      </c>
      <c r="AH40" s="40">
        <f t="shared" si="48"/>
        <v>0</v>
      </c>
      <c r="AI40" s="40">
        <f t="shared" si="44"/>
        <v>0</v>
      </c>
      <c r="AJ40" s="40">
        <f>AJ$6</f>
        <v>0</v>
      </c>
      <c r="AK40" s="32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1"/>
      <c r="AZ40" s="34"/>
      <c r="BA40" s="9">
        <f t="shared" si="37"/>
        <v>0</v>
      </c>
      <c r="BB40" s="6">
        <f>IF(BD40&lt;=0,0,Agents($A$1,$B$1,BD40*2,BE40))</f>
        <v>0</v>
      </c>
      <c r="BC40" s="9">
        <f t="shared" si="45"/>
        <v>0</v>
      </c>
      <c r="BD40" s="9">
        <f t="shared" si="38"/>
        <v>0</v>
      </c>
      <c r="BE40" s="9">
        <f t="shared" si="39"/>
        <v>0</v>
      </c>
      <c r="BF40" s="17">
        <f t="shared" si="40"/>
        <v>0</v>
      </c>
      <c r="BG40" s="17">
        <f t="shared" si="41"/>
        <v>0</v>
      </c>
      <c r="BH40" s="21">
        <f t="shared" si="42"/>
        <v>0</v>
      </c>
      <c r="BI40" s="22">
        <f t="shared" si="32"/>
        <v>0</v>
      </c>
      <c r="BJ40" s="30">
        <f t="shared" si="46"/>
        <v>0</v>
      </c>
      <c r="BO40" s="11">
        <v>0.6875</v>
      </c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S40" s="11">
        <v>0.6875</v>
      </c>
      <c r="CT40" s="16">
        <v>650</v>
      </c>
      <c r="CU40" s="16">
        <v>650</v>
      </c>
      <c r="CV40" s="16">
        <v>650</v>
      </c>
      <c r="CW40" s="16">
        <v>650</v>
      </c>
      <c r="CX40" s="16">
        <v>650</v>
      </c>
      <c r="CY40" s="16">
        <v>650</v>
      </c>
      <c r="CZ40" s="16">
        <v>650</v>
      </c>
      <c r="DA40" s="16">
        <v>584</v>
      </c>
      <c r="DB40" s="16">
        <v>584</v>
      </c>
      <c r="DC40" s="16">
        <v>584</v>
      </c>
      <c r="DD40" s="16">
        <v>584</v>
      </c>
      <c r="DE40" s="16">
        <v>584</v>
      </c>
      <c r="DF40" s="16">
        <v>584</v>
      </c>
      <c r="DG40" s="16">
        <v>584</v>
      </c>
      <c r="DH40" s="16">
        <v>617</v>
      </c>
      <c r="DI40" s="16">
        <v>617</v>
      </c>
      <c r="DJ40" s="16">
        <v>617</v>
      </c>
      <c r="DK40" s="16">
        <v>617</v>
      </c>
      <c r="DL40" s="16">
        <v>617</v>
      </c>
      <c r="DM40" s="16">
        <v>617</v>
      </c>
      <c r="DN40" s="16">
        <v>617</v>
      </c>
      <c r="DO40" s="16">
        <v>584</v>
      </c>
      <c r="DP40" s="16">
        <v>584</v>
      </c>
      <c r="DQ40" s="16">
        <v>584</v>
      </c>
      <c r="DR40" s="16">
        <v>584</v>
      </c>
      <c r="DS40" s="16">
        <v>584</v>
      </c>
      <c r="DT40" s="16">
        <v>584</v>
      </c>
      <c r="DU40" s="16">
        <v>584</v>
      </c>
    </row>
    <row r="41" spans="1:125" outlineLevel="1">
      <c r="A41" s="2">
        <f t="shared" si="43"/>
        <v>0.70833333333333348</v>
      </c>
      <c r="B41" s="4">
        <f t="shared" si="34"/>
        <v>0.70833333333333348</v>
      </c>
      <c r="D41" s="42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>
        <f t="shared" si="47"/>
        <v>0</v>
      </c>
      <c r="V41" s="40">
        <f t="shared" si="47"/>
        <v>0</v>
      </c>
      <c r="W41" s="40">
        <f t="shared" si="47"/>
        <v>0</v>
      </c>
      <c r="X41" s="40">
        <f t="shared" si="47"/>
        <v>0</v>
      </c>
      <c r="Y41" s="40">
        <f t="shared" si="47"/>
        <v>0</v>
      </c>
      <c r="Z41" s="40">
        <f t="shared" si="47"/>
        <v>0</v>
      </c>
      <c r="AA41" s="40">
        <f t="shared" si="47"/>
        <v>0</v>
      </c>
      <c r="AB41" s="40">
        <f t="shared" si="47"/>
        <v>0</v>
      </c>
      <c r="AC41" s="40">
        <f t="shared" si="47"/>
        <v>0</v>
      </c>
      <c r="AD41" s="40">
        <f t="shared" si="47"/>
        <v>0</v>
      </c>
      <c r="AE41" s="40">
        <f t="shared" si="47"/>
        <v>0</v>
      </c>
      <c r="AF41" s="40">
        <f t="shared" si="48"/>
        <v>0</v>
      </c>
      <c r="AG41" s="40">
        <f t="shared" si="48"/>
        <v>0</v>
      </c>
      <c r="AH41" s="40">
        <f t="shared" si="48"/>
        <v>0</v>
      </c>
      <c r="AI41" s="40">
        <f t="shared" si="48"/>
        <v>0</v>
      </c>
      <c r="AJ41" s="40">
        <f t="shared" si="44"/>
        <v>0</v>
      </c>
      <c r="AK41" s="40">
        <f>AK$6</f>
        <v>0</v>
      </c>
      <c r="AL41" s="32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1"/>
      <c r="AZ41" s="34"/>
      <c r="BA41" s="9">
        <f t="shared" si="37"/>
        <v>0</v>
      </c>
      <c r="BB41" s="6">
        <f>IF(BD41&lt;=0,0,Agents($A$1,$B$1,BD41*2,BE41))</f>
        <v>0</v>
      </c>
      <c r="BC41" s="9">
        <f t="shared" si="45"/>
        <v>0</v>
      </c>
      <c r="BD41" s="9">
        <f t="shared" si="38"/>
        <v>0</v>
      </c>
      <c r="BE41" s="9">
        <f t="shared" si="39"/>
        <v>0</v>
      </c>
      <c r="BF41" s="17">
        <f t="shared" si="40"/>
        <v>0</v>
      </c>
      <c r="BG41" s="17">
        <f t="shared" si="41"/>
        <v>0</v>
      </c>
      <c r="BH41" s="21">
        <f t="shared" si="42"/>
        <v>0</v>
      </c>
      <c r="BI41" s="22">
        <f t="shared" si="32"/>
        <v>0</v>
      </c>
      <c r="BJ41" s="30">
        <f t="shared" si="46"/>
        <v>0</v>
      </c>
      <c r="BO41" s="11">
        <v>0.70833333333333337</v>
      </c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S41" s="11">
        <v>0.70833333333333337</v>
      </c>
      <c r="CT41" s="16">
        <v>650</v>
      </c>
      <c r="CU41" s="16">
        <v>650</v>
      </c>
      <c r="CV41" s="16">
        <v>650</v>
      </c>
      <c r="CW41" s="16">
        <v>650</v>
      </c>
      <c r="CX41" s="16">
        <v>650</v>
      </c>
      <c r="CY41" s="16">
        <v>650</v>
      </c>
      <c r="CZ41" s="16">
        <v>650</v>
      </c>
      <c r="DA41" s="16">
        <v>584</v>
      </c>
      <c r="DB41" s="16">
        <v>584</v>
      </c>
      <c r="DC41" s="16">
        <v>584</v>
      </c>
      <c r="DD41" s="16">
        <v>584</v>
      </c>
      <c r="DE41" s="16">
        <v>584</v>
      </c>
      <c r="DF41" s="16">
        <v>584</v>
      </c>
      <c r="DG41" s="16">
        <v>584</v>
      </c>
      <c r="DH41" s="16">
        <v>617</v>
      </c>
      <c r="DI41" s="16">
        <v>617</v>
      </c>
      <c r="DJ41" s="16">
        <v>617</v>
      </c>
      <c r="DK41" s="16">
        <v>617</v>
      </c>
      <c r="DL41" s="16">
        <v>617</v>
      </c>
      <c r="DM41" s="16">
        <v>617</v>
      </c>
      <c r="DN41" s="16">
        <v>617</v>
      </c>
      <c r="DO41" s="16">
        <v>584</v>
      </c>
      <c r="DP41" s="16">
        <v>584</v>
      </c>
      <c r="DQ41" s="16">
        <v>584</v>
      </c>
      <c r="DR41" s="16">
        <v>584</v>
      </c>
      <c r="DS41" s="16">
        <v>584</v>
      </c>
      <c r="DT41" s="16">
        <v>584</v>
      </c>
      <c r="DU41" s="16">
        <v>584</v>
      </c>
    </row>
    <row r="42" spans="1:125" outlineLevel="1">
      <c r="A42" s="2">
        <f t="shared" si="43"/>
        <v>0.72916666666666685</v>
      </c>
      <c r="B42" s="4">
        <f t="shared" si="34"/>
        <v>0.72916666666666685</v>
      </c>
      <c r="D42" s="42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>
        <f t="shared" si="47"/>
        <v>0</v>
      </c>
      <c r="W42" s="40">
        <f t="shared" si="47"/>
        <v>0</v>
      </c>
      <c r="X42" s="40">
        <f t="shared" si="47"/>
        <v>0</v>
      </c>
      <c r="Y42" s="40">
        <f t="shared" si="47"/>
        <v>0</v>
      </c>
      <c r="Z42" s="40">
        <f t="shared" si="47"/>
        <v>0</v>
      </c>
      <c r="AA42" s="40">
        <f t="shared" si="47"/>
        <v>0</v>
      </c>
      <c r="AB42" s="40">
        <f t="shared" si="47"/>
        <v>0</v>
      </c>
      <c r="AC42" s="40">
        <f t="shared" si="47"/>
        <v>0</v>
      </c>
      <c r="AD42" s="40">
        <f t="shared" si="47"/>
        <v>0</v>
      </c>
      <c r="AE42" s="40">
        <f t="shared" si="47"/>
        <v>0</v>
      </c>
      <c r="AF42" s="40">
        <f t="shared" si="47"/>
        <v>0</v>
      </c>
      <c r="AG42" s="40">
        <f t="shared" si="48"/>
        <v>0</v>
      </c>
      <c r="AH42" s="40">
        <f t="shared" si="48"/>
        <v>0</v>
      </c>
      <c r="AI42" s="40">
        <f t="shared" si="48"/>
        <v>0</v>
      </c>
      <c r="AJ42" s="40">
        <f t="shared" si="48"/>
        <v>0</v>
      </c>
      <c r="AK42" s="40">
        <f t="shared" si="44"/>
        <v>0</v>
      </c>
      <c r="AL42" s="40">
        <f>AL$6</f>
        <v>0</v>
      </c>
      <c r="AM42" s="32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1"/>
      <c r="AZ42" s="34"/>
      <c r="BA42" s="9">
        <f t="shared" si="37"/>
        <v>0</v>
      </c>
      <c r="BB42" s="6">
        <f>IF(BD42&lt;=0,0,Agents($A$1,$B$1,BD42*2,BE42))</f>
        <v>0</v>
      </c>
      <c r="BC42" s="9">
        <f t="shared" si="45"/>
        <v>0</v>
      </c>
      <c r="BD42" s="9">
        <f t="shared" si="38"/>
        <v>0</v>
      </c>
      <c r="BE42" s="9">
        <f t="shared" si="39"/>
        <v>0</v>
      </c>
      <c r="BF42" s="17">
        <f t="shared" si="40"/>
        <v>0</v>
      </c>
      <c r="BG42" s="17">
        <f t="shared" si="41"/>
        <v>0</v>
      </c>
      <c r="BH42" s="21">
        <f t="shared" si="42"/>
        <v>0</v>
      </c>
      <c r="BI42" s="22">
        <f t="shared" si="32"/>
        <v>0</v>
      </c>
      <c r="BJ42" s="30">
        <f t="shared" si="46"/>
        <v>0</v>
      </c>
      <c r="BO42" s="11">
        <v>0.72916666666666663</v>
      </c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S42" s="11">
        <v>0.72916666666666663</v>
      </c>
      <c r="CT42" s="16">
        <v>650</v>
      </c>
      <c r="CU42" s="16">
        <v>650</v>
      </c>
      <c r="CV42" s="16">
        <v>650</v>
      </c>
      <c r="CW42" s="16">
        <v>650</v>
      </c>
      <c r="CX42" s="16">
        <v>650</v>
      </c>
      <c r="CY42" s="16">
        <v>650</v>
      </c>
      <c r="CZ42" s="16">
        <v>650</v>
      </c>
      <c r="DA42" s="16">
        <v>584</v>
      </c>
      <c r="DB42" s="16">
        <v>584</v>
      </c>
      <c r="DC42" s="16">
        <v>584</v>
      </c>
      <c r="DD42" s="16">
        <v>584</v>
      </c>
      <c r="DE42" s="16">
        <v>584</v>
      </c>
      <c r="DF42" s="16">
        <v>584</v>
      </c>
      <c r="DG42" s="16">
        <v>584</v>
      </c>
      <c r="DH42" s="16">
        <v>617</v>
      </c>
      <c r="DI42" s="16">
        <v>617</v>
      </c>
      <c r="DJ42" s="16">
        <v>617</v>
      </c>
      <c r="DK42" s="16">
        <v>617</v>
      </c>
      <c r="DL42" s="16">
        <v>617</v>
      </c>
      <c r="DM42" s="16">
        <v>617</v>
      </c>
      <c r="DN42" s="16">
        <v>617</v>
      </c>
      <c r="DO42" s="16">
        <v>584</v>
      </c>
      <c r="DP42" s="16">
        <v>584</v>
      </c>
      <c r="DQ42" s="16">
        <v>584</v>
      </c>
      <c r="DR42" s="16">
        <v>584</v>
      </c>
      <c r="DS42" s="16">
        <v>584</v>
      </c>
      <c r="DT42" s="16">
        <v>584</v>
      </c>
      <c r="DU42" s="16">
        <v>584</v>
      </c>
    </row>
    <row r="43" spans="1:125" outlineLevel="1">
      <c r="A43" s="2">
        <f t="shared" si="43"/>
        <v>0.75000000000000022</v>
      </c>
      <c r="B43" s="4">
        <f t="shared" si="34"/>
        <v>0.75000000000000022</v>
      </c>
      <c r="D43" s="42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>
        <f t="shared" ref="W43:AQ54" si="49">W$6</f>
        <v>0</v>
      </c>
      <c r="X43" s="40">
        <f t="shared" si="49"/>
        <v>0</v>
      </c>
      <c r="Y43" s="40">
        <f t="shared" si="49"/>
        <v>0</v>
      </c>
      <c r="Z43" s="40">
        <f t="shared" si="49"/>
        <v>0</v>
      </c>
      <c r="AA43" s="40">
        <f t="shared" si="49"/>
        <v>0</v>
      </c>
      <c r="AB43" s="40">
        <f t="shared" si="49"/>
        <v>0</v>
      </c>
      <c r="AC43" s="40">
        <f t="shared" si="49"/>
        <v>0</v>
      </c>
      <c r="AD43" s="40">
        <f t="shared" si="49"/>
        <v>0</v>
      </c>
      <c r="AE43" s="40">
        <f t="shared" si="49"/>
        <v>0</v>
      </c>
      <c r="AF43" s="40">
        <f t="shared" si="49"/>
        <v>0</v>
      </c>
      <c r="AG43" s="40">
        <f t="shared" si="47"/>
        <v>0</v>
      </c>
      <c r="AH43" s="40">
        <f t="shared" si="48"/>
        <v>0</v>
      </c>
      <c r="AI43" s="40">
        <f t="shared" si="48"/>
        <v>0</v>
      </c>
      <c r="AJ43" s="40">
        <f t="shared" si="48"/>
        <v>0</v>
      </c>
      <c r="AK43" s="40">
        <f t="shared" si="48"/>
        <v>0</v>
      </c>
      <c r="AL43" s="40">
        <f t="shared" si="44"/>
        <v>0</v>
      </c>
      <c r="AM43" s="40">
        <f>AM$6</f>
        <v>51</v>
      </c>
      <c r="AN43" s="32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1"/>
      <c r="AZ43" s="34"/>
      <c r="BA43" s="9">
        <f t="shared" si="37"/>
        <v>31.679999999999996</v>
      </c>
      <c r="BB43" s="6">
        <f>IF(BD43&lt;=0,0,Agents($A$1,$B$1,BD43*2,BE43))</f>
        <v>24</v>
      </c>
      <c r="BC43" s="9">
        <f t="shared" si="45"/>
        <v>58.982399999999942</v>
      </c>
      <c r="BD43" s="9">
        <f t="shared" si="38"/>
        <v>27.419642857142858</v>
      </c>
      <c r="BE43" s="9">
        <f t="shared" si="39"/>
        <v>1560</v>
      </c>
      <c r="BF43" s="17">
        <f t="shared" si="40"/>
        <v>1</v>
      </c>
      <c r="BG43" s="17">
        <f t="shared" si="41"/>
        <v>0.75011652708053589</v>
      </c>
      <c r="BH43" s="21">
        <f t="shared" si="42"/>
        <v>1.3199999999999998</v>
      </c>
      <c r="BI43" s="22">
        <f t="shared" si="32"/>
        <v>5.3571428571428582E-2</v>
      </c>
      <c r="BJ43" s="30">
        <f t="shared" si="46"/>
        <v>43200</v>
      </c>
      <c r="BO43" s="11">
        <v>0.75</v>
      </c>
      <c r="BP43" s="16">
        <v>2.125</v>
      </c>
      <c r="BQ43" s="16">
        <v>22.53125</v>
      </c>
      <c r="BR43" s="16">
        <v>34.125</v>
      </c>
      <c r="BS43" s="16">
        <v>45.65625</v>
      </c>
      <c r="BT43" s="16">
        <v>37.4375</v>
      </c>
      <c r="BU43" s="16">
        <v>31.84375</v>
      </c>
      <c r="BV43" s="16">
        <v>18.21875</v>
      </c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S43" s="11">
        <v>0.75</v>
      </c>
      <c r="CT43" s="16">
        <v>650</v>
      </c>
      <c r="CU43" s="16">
        <v>650</v>
      </c>
      <c r="CV43" s="16">
        <v>650</v>
      </c>
      <c r="CW43" s="16">
        <v>650</v>
      </c>
      <c r="CX43" s="16">
        <v>650</v>
      </c>
      <c r="CY43" s="16">
        <v>650</v>
      </c>
      <c r="CZ43" s="16">
        <v>650</v>
      </c>
      <c r="DA43" s="16">
        <v>584</v>
      </c>
      <c r="DB43" s="16">
        <v>584</v>
      </c>
      <c r="DC43" s="16">
        <v>584</v>
      </c>
      <c r="DD43" s="16">
        <v>584</v>
      </c>
      <c r="DE43" s="16">
        <v>584</v>
      </c>
      <c r="DF43" s="16">
        <v>584</v>
      </c>
      <c r="DG43" s="16">
        <v>584</v>
      </c>
      <c r="DH43" s="16">
        <v>617</v>
      </c>
      <c r="DI43" s="16">
        <v>617</v>
      </c>
      <c r="DJ43" s="16">
        <v>617</v>
      </c>
      <c r="DK43" s="16">
        <v>617</v>
      </c>
      <c r="DL43" s="16">
        <v>617</v>
      </c>
      <c r="DM43" s="16">
        <v>617</v>
      </c>
      <c r="DN43" s="16">
        <v>617</v>
      </c>
      <c r="DO43" s="16">
        <v>584</v>
      </c>
      <c r="DP43" s="16">
        <v>584</v>
      </c>
      <c r="DQ43" s="16">
        <v>584</v>
      </c>
      <c r="DR43" s="16">
        <v>584</v>
      </c>
      <c r="DS43" s="16">
        <v>584</v>
      </c>
      <c r="DT43" s="16">
        <v>584</v>
      </c>
      <c r="DU43" s="16">
        <v>584</v>
      </c>
    </row>
    <row r="44" spans="1:125" outlineLevel="1">
      <c r="A44" s="2">
        <f t="shared" si="43"/>
        <v>0.77083333333333359</v>
      </c>
      <c r="B44" s="4">
        <f t="shared" si="34"/>
        <v>0.77083333333333359</v>
      </c>
      <c r="D44" s="42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>
        <f t="shared" si="49"/>
        <v>0</v>
      </c>
      <c r="Y44" s="40">
        <f t="shared" si="49"/>
        <v>0</v>
      </c>
      <c r="Z44" s="40">
        <f t="shared" si="49"/>
        <v>0</v>
      </c>
      <c r="AA44" s="40">
        <f t="shared" si="49"/>
        <v>0</v>
      </c>
      <c r="AB44" s="40">
        <f t="shared" si="49"/>
        <v>0</v>
      </c>
      <c r="AC44" s="40">
        <f t="shared" si="49"/>
        <v>0</v>
      </c>
      <c r="AD44" s="40">
        <f t="shared" si="49"/>
        <v>0</v>
      </c>
      <c r="AE44" s="40">
        <f t="shared" si="49"/>
        <v>0</v>
      </c>
      <c r="AF44" s="40">
        <f t="shared" si="49"/>
        <v>0</v>
      </c>
      <c r="AG44" s="40">
        <f t="shared" si="49"/>
        <v>0</v>
      </c>
      <c r="AH44" s="40">
        <f t="shared" si="47"/>
        <v>0</v>
      </c>
      <c r="AI44" s="40">
        <f t="shared" ref="AI44:AU54" si="50">AI$6</f>
        <v>0</v>
      </c>
      <c r="AJ44" s="40">
        <f t="shared" si="50"/>
        <v>0</v>
      </c>
      <c r="AK44" s="40">
        <f t="shared" si="50"/>
        <v>0</v>
      </c>
      <c r="AL44" s="40">
        <f t="shared" si="48"/>
        <v>0</v>
      </c>
      <c r="AM44" s="40">
        <f t="shared" si="44"/>
        <v>51</v>
      </c>
      <c r="AN44" s="40">
        <f>AN$6</f>
        <v>0</v>
      </c>
      <c r="AO44" s="32"/>
      <c r="AP44" s="40"/>
      <c r="AQ44" s="40"/>
      <c r="AR44" s="40"/>
      <c r="AS44" s="40"/>
      <c r="AT44" s="40"/>
      <c r="AU44" s="40"/>
      <c r="AV44" s="40"/>
      <c r="AW44" s="40"/>
      <c r="AX44" s="40"/>
      <c r="AY44" s="41"/>
      <c r="AZ44" s="34"/>
      <c r="BA44" s="9">
        <f t="shared" si="37"/>
        <v>31.679999999999996</v>
      </c>
      <c r="BB44" s="6">
        <f>IF(BD44&lt;=0,0,Agents($A$1,$B$1,BD44*2,BE44))</f>
        <v>32</v>
      </c>
      <c r="BC44" s="9">
        <f t="shared" si="45"/>
        <v>0.10240000000000246</v>
      </c>
      <c r="BD44" s="9">
        <f t="shared" si="38"/>
        <v>36.205357142857146</v>
      </c>
      <c r="BE44" s="9">
        <f t="shared" si="39"/>
        <v>1560</v>
      </c>
      <c r="BF44" s="17">
        <f>SLA(BA44,$B$1,BD44*2,BE44)</f>
        <v>0.99642640352249146</v>
      </c>
      <c r="BG44" s="17">
        <f t="shared" si="41"/>
        <v>0.9904664158821106</v>
      </c>
      <c r="BH44" s="21">
        <f t="shared" si="42"/>
        <v>0.98999999999999988</v>
      </c>
      <c r="BI44" s="22">
        <f>BA44/SUM($BA$7:$BA$54)</f>
        <v>5.3571428571428582E-2</v>
      </c>
      <c r="BJ44" s="30">
        <f t="shared" si="46"/>
        <v>57600</v>
      </c>
      <c r="BO44" s="11">
        <v>0.77083333333333337</v>
      </c>
      <c r="BP44" s="16">
        <v>2.75</v>
      </c>
      <c r="BQ44" s="16">
        <v>32.78125</v>
      </c>
      <c r="BR44" s="16">
        <v>41.625</v>
      </c>
      <c r="BS44" s="16">
        <v>60.53125</v>
      </c>
      <c r="BT44" s="16">
        <v>51.3125</v>
      </c>
      <c r="BU44" s="16">
        <v>45.34375</v>
      </c>
      <c r="BV44" s="16">
        <v>19.09375</v>
      </c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S44" s="11">
        <v>0.77083333333333337</v>
      </c>
      <c r="CT44" s="16">
        <v>650</v>
      </c>
      <c r="CU44" s="16">
        <v>650</v>
      </c>
      <c r="CV44" s="16">
        <v>650</v>
      </c>
      <c r="CW44" s="16">
        <v>650</v>
      </c>
      <c r="CX44" s="16">
        <v>650</v>
      </c>
      <c r="CY44" s="16">
        <v>650</v>
      </c>
      <c r="CZ44" s="16">
        <v>650</v>
      </c>
      <c r="DA44" s="16">
        <v>584</v>
      </c>
      <c r="DB44" s="16">
        <v>584</v>
      </c>
      <c r="DC44" s="16">
        <v>584</v>
      </c>
      <c r="DD44" s="16">
        <v>584</v>
      </c>
      <c r="DE44" s="16">
        <v>584</v>
      </c>
      <c r="DF44" s="16">
        <v>584</v>
      </c>
      <c r="DG44" s="16">
        <v>584</v>
      </c>
      <c r="DH44" s="16">
        <v>617</v>
      </c>
      <c r="DI44" s="16">
        <v>617</v>
      </c>
      <c r="DJ44" s="16">
        <v>617</v>
      </c>
      <c r="DK44" s="16">
        <v>617</v>
      </c>
      <c r="DL44" s="16">
        <v>617</v>
      </c>
      <c r="DM44" s="16">
        <v>617</v>
      </c>
      <c r="DN44" s="16">
        <v>617</v>
      </c>
      <c r="DO44" s="16">
        <v>584</v>
      </c>
      <c r="DP44" s="16">
        <v>584</v>
      </c>
      <c r="DQ44" s="16">
        <v>584</v>
      </c>
      <c r="DR44" s="16">
        <v>584</v>
      </c>
      <c r="DS44" s="16">
        <v>584</v>
      </c>
      <c r="DT44" s="16">
        <v>584</v>
      </c>
      <c r="DU44" s="16">
        <v>584</v>
      </c>
    </row>
    <row r="45" spans="1:125" outlineLevel="1">
      <c r="A45" s="2">
        <f t="shared" si="43"/>
        <v>0.79166666666666696</v>
      </c>
      <c r="B45" s="4">
        <f t="shared" si="34"/>
        <v>0.79166666666666696</v>
      </c>
      <c r="D45" s="42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>
        <f t="shared" si="49"/>
        <v>0</v>
      </c>
      <c r="Z45" s="40">
        <f t="shared" si="49"/>
        <v>0</v>
      </c>
      <c r="AA45" s="40">
        <f t="shared" si="49"/>
        <v>0</v>
      </c>
      <c r="AB45" s="40">
        <f t="shared" si="49"/>
        <v>0</v>
      </c>
      <c r="AC45" s="40">
        <f t="shared" si="49"/>
        <v>0</v>
      </c>
      <c r="AD45" s="40">
        <f t="shared" si="49"/>
        <v>0</v>
      </c>
      <c r="AE45" s="40">
        <f t="shared" si="49"/>
        <v>0</v>
      </c>
      <c r="AF45" s="40">
        <f t="shared" si="49"/>
        <v>0</v>
      </c>
      <c r="AG45" s="40">
        <f t="shared" si="49"/>
        <v>0</v>
      </c>
      <c r="AH45" s="40">
        <f t="shared" si="49"/>
        <v>0</v>
      </c>
      <c r="AI45" s="40">
        <f t="shared" si="47"/>
        <v>0</v>
      </c>
      <c r="AJ45" s="40">
        <f t="shared" si="50"/>
        <v>0</v>
      </c>
      <c r="AK45" s="40">
        <f t="shared" si="50"/>
        <v>0</v>
      </c>
      <c r="AL45" s="40">
        <f t="shared" si="50"/>
        <v>0</v>
      </c>
      <c r="AM45" s="40">
        <f t="shared" si="48"/>
        <v>51</v>
      </c>
      <c r="AN45" s="40">
        <f t="shared" si="44"/>
        <v>0</v>
      </c>
      <c r="AO45" s="40">
        <f>AO$6</f>
        <v>0</v>
      </c>
      <c r="AP45" s="32"/>
      <c r="AQ45" s="40"/>
      <c r="AR45" s="40"/>
      <c r="AS45" s="40"/>
      <c r="AT45" s="40"/>
      <c r="AU45" s="40"/>
      <c r="AV45" s="40"/>
      <c r="AW45" s="40"/>
      <c r="AX45" s="40"/>
      <c r="AY45" s="41"/>
      <c r="AZ45" s="34"/>
      <c r="BA45" s="9">
        <f t="shared" si="37"/>
        <v>31.679999999999996</v>
      </c>
      <c r="BB45" s="6">
        <f>IF(BD45&lt;=0,0,Agents($A$1,$B$1,BD45*2,BE45))</f>
        <v>32</v>
      </c>
      <c r="BC45" s="9">
        <f t="shared" si="45"/>
        <v>0.10240000000000246</v>
      </c>
      <c r="BD45" s="9">
        <f t="shared" si="38"/>
        <v>36.008928571428569</v>
      </c>
      <c r="BE45" s="9">
        <f t="shared" si="39"/>
        <v>1560</v>
      </c>
      <c r="BF45" s="17">
        <f t="shared" si="40"/>
        <v>0.99985086917877197</v>
      </c>
      <c r="BG45" s="17">
        <f t="shared" si="41"/>
        <v>0.98509275913238525</v>
      </c>
      <c r="BH45" s="21">
        <f t="shared" si="42"/>
        <v>0.98999999999999988</v>
      </c>
      <c r="BI45" s="22">
        <f t="shared" si="32"/>
        <v>5.3571428571428582E-2</v>
      </c>
      <c r="BJ45" s="30">
        <f t="shared" si="46"/>
        <v>57600</v>
      </c>
      <c r="BO45" s="11">
        <v>0.79166666666666663</v>
      </c>
      <c r="BP45" s="16">
        <v>3.125</v>
      </c>
      <c r="BQ45" s="16">
        <v>31.65625</v>
      </c>
      <c r="BR45" s="16">
        <v>48.625</v>
      </c>
      <c r="BS45" s="16">
        <v>53.65625</v>
      </c>
      <c r="BT45" s="16">
        <v>46.6875</v>
      </c>
      <c r="BU45" s="16">
        <v>46.96875</v>
      </c>
      <c r="BV45" s="16">
        <v>21.34375</v>
      </c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S45" s="11">
        <v>0.79166666666666663</v>
      </c>
      <c r="CT45" s="16">
        <v>650</v>
      </c>
      <c r="CU45" s="16">
        <v>650</v>
      </c>
      <c r="CV45" s="16">
        <v>650</v>
      </c>
      <c r="CW45" s="16">
        <v>650</v>
      </c>
      <c r="CX45" s="16">
        <v>650</v>
      </c>
      <c r="CY45" s="16">
        <v>650</v>
      </c>
      <c r="CZ45" s="16">
        <v>650</v>
      </c>
      <c r="DA45" s="16">
        <v>584</v>
      </c>
      <c r="DB45" s="16">
        <v>584</v>
      </c>
      <c r="DC45" s="16">
        <v>584</v>
      </c>
      <c r="DD45" s="16">
        <v>584</v>
      </c>
      <c r="DE45" s="16">
        <v>584</v>
      </c>
      <c r="DF45" s="16">
        <v>584</v>
      </c>
      <c r="DG45" s="16">
        <v>584</v>
      </c>
      <c r="DH45" s="16">
        <v>617</v>
      </c>
      <c r="DI45" s="16">
        <v>617</v>
      </c>
      <c r="DJ45" s="16">
        <v>617</v>
      </c>
      <c r="DK45" s="16">
        <v>617</v>
      </c>
      <c r="DL45" s="16">
        <v>617</v>
      </c>
      <c r="DM45" s="16">
        <v>617</v>
      </c>
      <c r="DN45" s="16">
        <v>617</v>
      </c>
      <c r="DO45" s="16">
        <v>584</v>
      </c>
      <c r="DP45" s="16">
        <v>584</v>
      </c>
      <c r="DQ45" s="16">
        <v>584</v>
      </c>
      <c r="DR45" s="16">
        <v>584</v>
      </c>
      <c r="DS45" s="16">
        <v>584</v>
      </c>
      <c r="DT45" s="16">
        <v>584</v>
      </c>
      <c r="DU45" s="16">
        <v>584</v>
      </c>
    </row>
    <row r="46" spans="1:125" outlineLevel="1">
      <c r="A46" s="2">
        <f t="shared" si="43"/>
        <v>0.81250000000000033</v>
      </c>
      <c r="B46" s="4">
        <f t="shared" si="34"/>
        <v>0.81250000000000033</v>
      </c>
      <c r="D46" s="42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>
        <f t="shared" si="49"/>
        <v>0</v>
      </c>
      <c r="AA46" s="40">
        <f t="shared" si="49"/>
        <v>0</v>
      </c>
      <c r="AB46" s="40">
        <f t="shared" si="49"/>
        <v>0</v>
      </c>
      <c r="AC46" s="40">
        <f t="shared" si="49"/>
        <v>0</v>
      </c>
      <c r="AD46" s="40">
        <f t="shared" si="49"/>
        <v>0</v>
      </c>
      <c r="AE46" s="40">
        <f t="shared" si="49"/>
        <v>0</v>
      </c>
      <c r="AF46" s="40">
        <f t="shared" si="49"/>
        <v>0</v>
      </c>
      <c r="AG46" s="40">
        <f t="shared" si="49"/>
        <v>0</v>
      </c>
      <c r="AH46" s="40">
        <f t="shared" si="49"/>
        <v>0</v>
      </c>
      <c r="AI46" s="40">
        <f t="shared" si="49"/>
        <v>0</v>
      </c>
      <c r="AJ46" s="40">
        <f t="shared" si="47"/>
        <v>0</v>
      </c>
      <c r="AK46" s="40">
        <f t="shared" si="50"/>
        <v>0</v>
      </c>
      <c r="AL46" s="40">
        <f t="shared" si="50"/>
        <v>0</v>
      </c>
      <c r="AM46" s="40">
        <f t="shared" si="50"/>
        <v>51</v>
      </c>
      <c r="AN46" s="40">
        <f t="shared" si="48"/>
        <v>0</v>
      </c>
      <c r="AO46" s="40">
        <f t="shared" si="44"/>
        <v>0</v>
      </c>
      <c r="AP46" s="40">
        <f>AP$6</f>
        <v>0</v>
      </c>
      <c r="AQ46" s="32"/>
      <c r="AR46" s="40"/>
      <c r="AS46" s="40"/>
      <c r="AT46" s="40"/>
      <c r="AU46" s="40"/>
      <c r="AV46" s="40"/>
      <c r="AW46" s="40"/>
      <c r="AX46" s="40"/>
      <c r="AY46" s="41"/>
      <c r="AZ46" s="34"/>
      <c r="BA46" s="9">
        <f t="shared" si="37"/>
        <v>31.679999999999996</v>
      </c>
      <c r="BB46" s="6">
        <f>IF(BD46&lt;=0,0,Agents($A$1,$B$1,BD46*2,BE46))</f>
        <v>31</v>
      </c>
      <c r="BC46" s="9">
        <f t="shared" si="45"/>
        <v>0.46239999999999476</v>
      </c>
      <c r="BD46" s="9">
        <f t="shared" si="38"/>
        <v>35.133928571428569</v>
      </c>
      <c r="BE46" s="9">
        <f t="shared" si="39"/>
        <v>1560</v>
      </c>
      <c r="BF46" s="17">
        <f t="shared" si="40"/>
        <v>1</v>
      </c>
      <c r="BG46" s="17">
        <f t="shared" si="41"/>
        <v>0.9611554741859436</v>
      </c>
      <c r="BH46" s="21">
        <f t="shared" si="42"/>
        <v>1.0219354838709676</v>
      </c>
      <c r="BI46" s="22">
        <f t="shared" si="32"/>
        <v>5.3571428571428582E-2</v>
      </c>
      <c r="BJ46" s="30">
        <f t="shared" si="46"/>
        <v>55800</v>
      </c>
      <c r="BO46" s="11">
        <v>0.8125</v>
      </c>
      <c r="BP46" s="16">
        <v>2.875</v>
      </c>
      <c r="BQ46" s="16">
        <v>34.03125</v>
      </c>
      <c r="BR46" s="16">
        <v>47.375</v>
      </c>
      <c r="BS46" s="16">
        <v>53.15625</v>
      </c>
      <c r="BT46" s="16">
        <v>43.8125</v>
      </c>
      <c r="BU46" s="16">
        <v>41.34375</v>
      </c>
      <c r="BV46" s="16">
        <v>23.34375</v>
      </c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S46" s="11">
        <v>0.8125</v>
      </c>
      <c r="CT46" s="16">
        <v>650</v>
      </c>
      <c r="CU46" s="16">
        <v>650</v>
      </c>
      <c r="CV46" s="16">
        <v>650</v>
      </c>
      <c r="CW46" s="16">
        <v>650</v>
      </c>
      <c r="CX46" s="16">
        <v>650</v>
      </c>
      <c r="CY46" s="16">
        <v>650</v>
      </c>
      <c r="CZ46" s="16">
        <v>650</v>
      </c>
      <c r="DA46" s="16">
        <v>584</v>
      </c>
      <c r="DB46" s="16">
        <v>584</v>
      </c>
      <c r="DC46" s="16">
        <v>584</v>
      </c>
      <c r="DD46" s="16">
        <v>584</v>
      </c>
      <c r="DE46" s="16">
        <v>584</v>
      </c>
      <c r="DF46" s="16">
        <v>584</v>
      </c>
      <c r="DG46" s="16">
        <v>584</v>
      </c>
      <c r="DH46" s="16">
        <v>617</v>
      </c>
      <c r="DI46" s="16">
        <v>617</v>
      </c>
      <c r="DJ46" s="16">
        <v>617</v>
      </c>
      <c r="DK46" s="16">
        <v>617</v>
      </c>
      <c r="DL46" s="16">
        <v>617</v>
      </c>
      <c r="DM46" s="16">
        <v>617</v>
      </c>
      <c r="DN46" s="16">
        <v>617</v>
      </c>
      <c r="DO46" s="16">
        <v>584</v>
      </c>
      <c r="DP46" s="16">
        <v>584</v>
      </c>
      <c r="DQ46" s="16">
        <v>584</v>
      </c>
      <c r="DR46" s="16">
        <v>584</v>
      </c>
      <c r="DS46" s="16">
        <v>584</v>
      </c>
      <c r="DT46" s="16">
        <v>584</v>
      </c>
      <c r="DU46" s="16">
        <v>584</v>
      </c>
    </row>
    <row r="47" spans="1:125" outlineLevel="1">
      <c r="A47" s="2">
        <f t="shared" si="43"/>
        <v>0.8333333333333337</v>
      </c>
      <c r="B47" s="4">
        <f t="shared" si="34"/>
        <v>0.8333333333333337</v>
      </c>
      <c r="D47" s="42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>
        <f t="shared" si="49"/>
        <v>0</v>
      </c>
      <c r="AB47" s="40">
        <f t="shared" si="49"/>
        <v>0</v>
      </c>
      <c r="AC47" s="40">
        <f t="shared" si="49"/>
        <v>0</v>
      </c>
      <c r="AD47" s="40">
        <f t="shared" si="49"/>
        <v>0</v>
      </c>
      <c r="AE47" s="40">
        <f t="shared" si="49"/>
        <v>0</v>
      </c>
      <c r="AF47" s="40">
        <f t="shared" si="49"/>
        <v>0</v>
      </c>
      <c r="AG47" s="40">
        <f t="shared" si="49"/>
        <v>0</v>
      </c>
      <c r="AH47" s="40">
        <f t="shared" si="49"/>
        <v>0</v>
      </c>
      <c r="AI47" s="40">
        <f t="shared" si="49"/>
        <v>0</v>
      </c>
      <c r="AJ47" s="40">
        <f t="shared" si="49"/>
        <v>0</v>
      </c>
      <c r="AK47" s="40">
        <f t="shared" si="47"/>
        <v>0</v>
      </c>
      <c r="AL47" s="40">
        <f t="shared" si="50"/>
        <v>0</v>
      </c>
      <c r="AM47" s="40">
        <f t="shared" si="50"/>
        <v>51</v>
      </c>
      <c r="AN47" s="40">
        <f t="shared" si="50"/>
        <v>0</v>
      </c>
      <c r="AO47" s="40">
        <f t="shared" si="48"/>
        <v>0</v>
      </c>
      <c r="AP47" s="40">
        <f t="shared" si="44"/>
        <v>0</v>
      </c>
      <c r="AQ47" s="40">
        <f>AQ$6</f>
        <v>0</v>
      </c>
      <c r="AR47" s="32"/>
      <c r="AS47" s="40"/>
      <c r="AT47" s="40"/>
      <c r="AU47" s="40"/>
      <c r="AV47" s="40"/>
      <c r="AW47" s="40"/>
      <c r="AX47" s="40"/>
      <c r="AY47" s="41"/>
      <c r="AZ47" s="34"/>
      <c r="BA47" s="9">
        <f t="shared" si="37"/>
        <v>31.679999999999996</v>
      </c>
      <c r="BB47" s="6">
        <f>IF(BD47&lt;=0,0,Agents($A$1,$B$1,BD47*2,BE47))</f>
        <v>23</v>
      </c>
      <c r="BC47" s="9">
        <f t="shared" si="45"/>
        <v>75.342399999999927</v>
      </c>
      <c r="BD47" s="9">
        <f t="shared" si="38"/>
        <v>26.339285714285715</v>
      </c>
      <c r="BE47" s="9">
        <f t="shared" si="39"/>
        <v>1560</v>
      </c>
      <c r="BF47" s="17">
        <f t="shared" si="40"/>
        <v>1</v>
      </c>
      <c r="BG47" s="17">
        <f t="shared" si="41"/>
        <v>0.72056126594543457</v>
      </c>
      <c r="BH47" s="21">
        <f t="shared" si="42"/>
        <v>1.3773913043478259</v>
      </c>
      <c r="BI47" s="22">
        <f t="shared" si="32"/>
        <v>5.3571428571428582E-2</v>
      </c>
      <c r="BJ47" s="30">
        <f t="shared" si="46"/>
        <v>41400</v>
      </c>
      <c r="BO47" s="11">
        <v>0.83333333333333337</v>
      </c>
      <c r="BP47" s="16">
        <v>3.125</v>
      </c>
      <c r="BQ47" s="16">
        <v>29.75</v>
      </c>
      <c r="BR47" s="16">
        <v>35.125</v>
      </c>
      <c r="BS47" s="16">
        <v>36.75</v>
      </c>
      <c r="BT47" s="16">
        <v>32.875</v>
      </c>
      <c r="BU47" s="16">
        <v>32</v>
      </c>
      <c r="BV47" s="16">
        <v>14.75</v>
      </c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S47" s="11">
        <v>0.83333333333333337</v>
      </c>
      <c r="CT47" s="16">
        <v>650</v>
      </c>
      <c r="CU47" s="16">
        <v>650</v>
      </c>
      <c r="CV47" s="16">
        <v>650</v>
      </c>
      <c r="CW47" s="16">
        <v>650</v>
      </c>
      <c r="CX47" s="16">
        <v>650</v>
      </c>
      <c r="CY47" s="16">
        <v>650</v>
      </c>
      <c r="CZ47" s="16">
        <v>650</v>
      </c>
      <c r="DA47" s="16">
        <v>584</v>
      </c>
      <c r="DB47" s="16">
        <v>584</v>
      </c>
      <c r="DC47" s="16">
        <v>584</v>
      </c>
      <c r="DD47" s="16">
        <v>584</v>
      </c>
      <c r="DE47" s="16">
        <v>584</v>
      </c>
      <c r="DF47" s="16">
        <v>584</v>
      </c>
      <c r="DG47" s="16">
        <v>584</v>
      </c>
      <c r="DH47" s="16">
        <v>617</v>
      </c>
      <c r="DI47" s="16">
        <v>617</v>
      </c>
      <c r="DJ47" s="16">
        <v>617</v>
      </c>
      <c r="DK47" s="16">
        <v>617</v>
      </c>
      <c r="DL47" s="16">
        <v>617</v>
      </c>
      <c r="DM47" s="16">
        <v>617</v>
      </c>
      <c r="DN47" s="16">
        <v>617</v>
      </c>
      <c r="DO47" s="16">
        <v>584</v>
      </c>
      <c r="DP47" s="16">
        <v>584</v>
      </c>
      <c r="DQ47" s="16">
        <v>584</v>
      </c>
      <c r="DR47" s="16">
        <v>584</v>
      </c>
      <c r="DS47" s="16">
        <v>584</v>
      </c>
      <c r="DT47" s="16">
        <v>584</v>
      </c>
      <c r="DU47" s="16">
        <v>584</v>
      </c>
    </row>
    <row r="48" spans="1:125" outlineLevel="1">
      <c r="A48" s="2">
        <f t="shared" si="43"/>
        <v>0.85416666666666707</v>
      </c>
      <c r="B48" s="4">
        <f t="shared" si="34"/>
        <v>0.85416666666666707</v>
      </c>
      <c r="D48" s="42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>
        <f t="shared" si="49"/>
        <v>0</v>
      </c>
      <c r="AC48" s="40">
        <f t="shared" si="49"/>
        <v>0</v>
      </c>
      <c r="AD48" s="40">
        <f t="shared" si="49"/>
        <v>0</v>
      </c>
      <c r="AE48" s="40">
        <f t="shared" si="49"/>
        <v>0</v>
      </c>
      <c r="AF48" s="40">
        <f t="shared" si="49"/>
        <v>0</v>
      </c>
      <c r="AG48" s="40">
        <f t="shared" si="49"/>
        <v>0</v>
      </c>
      <c r="AH48" s="40">
        <f t="shared" si="49"/>
        <v>0</v>
      </c>
      <c r="AI48" s="40">
        <f t="shared" si="49"/>
        <v>0</v>
      </c>
      <c r="AJ48" s="40">
        <f t="shared" si="49"/>
        <v>0</v>
      </c>
      <c r="AK48" s="40">
        <f t="shared" si="49"/>
        <v>0</v>
      </c>
      <c r="AL48" s="40">
        <f t="shared" si="47"/>
        <v>0</v>
      </c>
      <c r="AM48" s="40">
        <f t="shared" si="50"/>
        <v>51</v>
      </c>
      <c r="AN48" s="40">
        <f t="shared" si="50"/>
        <v>0</v>
      </c>
      <c r="AO48" s="40">
        <f t="shared" si="50"/>
        <v>0</v>
      </c>
      <c r="AP48" s="40">
        <f t="shared" si="48"/>
        <v>0</v>
      </c>
      <c r="AQ48" s="40">
        <f t="shared" si="44"/>
        <v>0</v>
      </c>
      <c r="AR48" s="40">
        <f>AR$6</f>
        <v>0</v>
      </c>
      <c r="AS48" s="32"/>
      <c r="AT48" s="40"/>
      <c r="AU48" s="40"/>
      <c r="AV48" s="40"/>
      <c r="AW48" s="40"/>
      <c r="AX48" s="40"/>
      <c r="AY48" s="41"/>
      <c r="AZ48" s="34"/>
      <c r="BA48" s="9">
        <f t="shared" si="37"/>
        <v>31.679999999999996</v>
      </c>
      <c r="BB48" s="6">
        <f>IF(BD48&lt;=0,0,Agents($A$1,$B$1,BD48*2,BE48))</f>
        <v>21</v>
      </c>
      <c r="BC48" s="9">
        <f t="shared" si="45"/>
        <v>114.06239999999991</v>
      </c>
      <c r="BD48" s="9">
        <f t="shared" si="38"/>
        <v>23.178571428571427</v>
      </c>
      <c r="BE48" s="9">
        <f t="shared" si="39"/>
        <v>1560</v>
      </c>
      <c r="BF48" s="17">
        <f t="shared" si="40"/>
        <v>1</v>
      </c>
      <c r="BG48" s="17">
        <f t="shared" si="41"/>
        <v>0.63409388065338135</v>
      </c>
      <c r="BH48" s="21">
        <f t="shared" si="42"/>
        <v>1.5085714285714285</v>
      </c>
      <c r="BI48" s="22">
        <f t="shared" si="32"/>
        <v>5.3571428571428582E-2</v>
      </c>
      <c r="BJ48" s="30">
        <f t="shared" si="46"/>
        <v>37800</v>
      </c>
      <c r="BO48" s="11">
        <v>0.85416666666666663</v>
      </c>
      <c r="BP48" s="16">
        <v>2.5</v>
      </c>
      <c r="BQ48" s="16">
        <v>24.25</v>
      </c>
      <c r="BR48" s="16">
        <v>31.125</v>
      </c>
      <c r="BS48" s="16">
        <v>33.25</v>
      </c>
      <c r="BT48" s="16">
        <v>29.875</v>
      </c>
      <c r="BU48" s="16">
        <v>26.25</v>
      </c>
      <c r="BV48" s="16">
        <v>15</v>
      </c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S48" s="11">
        <v>0.85416666666666663</v>
      </c>
      <c r="CT48" s="16">
        <v>650</v>
      </c>
      <c r="CU48" s="16">
        <v>650</v>
      </c>
      <c r="CV48" s="16">
        <v>650</v>
      </c>
      <c r="CW48" s="16">
        <v>650</v>
      </c>
      <c r="CX48" s="16">
        <v>650</v>
      </c>
      <c r="CY48" s="16">
        <v>650</v>
      </c>
      <c r="CZ48" s="16">
        <v>650</v>
      </c>
      <c r="DA48" s="16">
        <v>584</v>
      </c>
      <c r="DB48" s="16">
        <v>584</v>
      </c>
      <c r="DC48" s="16">
        <v>584</v>
      </c>
      <c r="DD48" s="16">
        <v>584</v>
      </c>
      <c r="DE48" s="16">
        <v>584</v>
      </c>
      <c r="DF48" s="16">
        <v>584</v>
      </c>
      <c r="DG48" s="16">
        <v>584</v>
      </c>
      <c r="DH48" s="16">
        <v>617</v>
      </c>
      <c r="DI48" s="16">
        <v>617</v>
      </c>
      <c r="DJ48" s="16">
        <v>617</v>
      </c>
      <c r="DK48" s="16">
        <v>617</v>
      </c>
      <c r="DL48" s="16">
        <v>617</v>
      </c>
      <c r="DM48" s="16">
        <v>617</v>
      </c>
      <c r="DN48" s="16">
        <v>617</v>
      </c>
      <c r="DO48" s="16">
        <v>584</v>
      </c>
      <c r="DP48" s="16">
        <v>584</v>
      </c>
      <c r="DQ48" s="16">
        <v>584</v>
      </c>
      <c r="DR48" s="16">
        <v>584</v>
      </c>
      <c r="DS48" s="16">
        <v>584</v>
      </c>
      <c r="DT48" s="16">
        <v>584</v>
      </c>
      <c r="DU48" s="16">
        <v>584</v>
      </c>
    </row>
    <row r="49" spans="1:125" outlineLevel="1">
      <c r="A49" s="2">
        <f t="shared" si="43"/>
        <v>0.87500000000000044</v>
      </c>
      <c r="B49" s="4">
        <f t="shared" si="34"/>
        <v>0.87500000000000044</v>
      </c>
      <c r="D49" s="42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>
        <f t="shared" si="49"/>
        <v>0</v>
      </c>
      <c r="AD49" s="40">
        <f t="shared" si="49"/>
        <v>0</v>
      </c>
      <c r="AE49" s="40">
        <f t="shared" si="49"/>
        <v>0</v>
      </c>
      <c r="AF49" s="40">
        <f t="shared" si="49"/>
        <v>0</v>
      </c>
      <c r="AG49" s="40">
        <f t="shared" si="49"/>
        <v>0</v>
      </c>
      <c r="AH49" s="40">
        <f t="shared" si="49"/>
        <v>0</v>
      </c>
      <c r="AI49" s="40">
        <f t="shared" si="49"/>
        <v>0</v>
      </c>
      <c r="AJ49" s="40">
        <f t="shared" si="49"/>
        <v>0</v>
      </c>
      <c r="AK49" s="40">
        <f t="shared" si="49"/>
        <v>0</v>
      </c>
      <c r="AL49" s="40">
        <f t="shared" si="49"/>
        <v>0</v>
      </c>
      <c r="AM49" s="40">
        <f t="shared" si="47"/>
        <v>51</v>
      </c>
      <c r="AN49" s="40">
        <f t="shared" si="50"/>
        <v>0</v>
      </c>
      <c r="AO49" s="40">
        <f t="shared" si="50"/>
        <v>0</v>
      </c>
      <c r="AP49" s="40">
        <f t="shared" si="50"/>
        <v>0</v>
      </c>
      <c r="AQ49" s="40">
        <f t="shared" si="48"/>
        <v>0</v>
      </c>
      <c r="AR49" s="40">
        <f t="shared" si="44"/>
        <v>0</v>
      </c>
      <c r="AS49" s="40">
        <f>AS$6</f>
        <v>0</v>
      </c>
      <c r="AT49" s="32"/>
      <c r="AU49" s="40"/>
      <c r="AV49" s="40"/>
      <c r="AW49" s="40"/>
      <c r="AX49" s="40"/>
      <c r="AY49" s="41"/>
      <c r="AZ49" s="34"/>
      <c r="BA49" s="9">
        <f t="shared" si="37"/>
        <v>31.679999999999996</v>
      </c>
      <c r="BB49" s="6">
        <f>IF(BD49&lt;=0,0,Agents($A$1,$B$1,BD49*2,BE49))</f>
        <v>8</v>
      </c>
      <c r="BC49" s="9">
        <f t="shared" si="45"/>
        <v>560.74239999999986</v>
      </c>
      <c r="BD49" s="9">
        <f t="shared" si="38"/>
        <v>8.5</v>
      </c>
      <c r="BE49" s="9">
        <f t="shared" si="39"/>
        <v>1560</v>
      </c>
      <c r="BF49" s="17">
        <f t="shared" si="40"/>
        <v>1</v>
      </c>
      <c r="BG49" s="17">
        <f t="shared" si="41"/>
        <v>0.23253367841243744</v>
      </c>
      <c r="BH49" s="21">
        <f t="shared" si="42"/>
        <v>3.9599999999999995</v>
      </c>
      <c r="BI49" s="22">
        <f t="shared" si="32"/>
        <v>5.3571428571428582E-2</v>
      </c>
      <c r="BJ49" s="30">
        <f t="shared" si="46"/>
        <v>14400</v>
      </c>
      <c r="BO49" s="11">
        <v>0.875</v>
      </c>
      <c r="BP49" s="16">
        <v>1</v>
      </c>
      <c r="BQ49" s="16">
        <v>10.25</v>
      </c>
      <c r="BR49" s="16">
        <v>10.375</v>
      </c>
      <c r="BS49" s="16">
        <v>12.625</v>
      </c>
      <c r="BT49" s="16">
        <v>9.25</v>
      </c>
      <c r="BU49" s="16">
        <v>11.25</v>
      </c>
      <c r="BV49" s="16">
        <v>4.75</v>
      </c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S49" s="11">
        <v>0.875</v>
      </c>
      <c r="CT49" s="16">
        <v>650</v>
      </c>
      <c r="CU49" s="16">
        <v>650</v>
      </c>
      <c r="CV49" s="16">
        <v>650</v>
      </c>
      <c r="CW49" s="16">
        <v>650</v>
      </c>
      <c r="CX49" s="16">
        <v>650</v>
      </c>
      <c r="CY49" s="16">
        <v>650</v>
      </c>
      <c r="CZ49" s="16">
        <v>650</v>
      </c>
      <c r="DA49" s="16">
        <v>584</v>
      </c>
      <c r="DB49" s="16">
        <v>584</v>
      </c>
      <c r="DC49" s="16">
        <v>584</v>
      </c>
      <c r="DD49" s="16">
        <v>584</v>
      </c>
      <c r="DE49" s="16">
        <v>584</v>
      </c>
      <c r="DF49" s="16">
        <v>584</v>
      </c>
      <c r="DG49" s="16">
        <v>584</v>
      </c>
      <c r="DH49" s="16">
        <v>617</v>
      </c>
      <c r="DI49" s="16">
        <v>617</v>
      </c>
      <c r="DJ49" s="16">
        <v>617</v>
      </c>
      <c r="DK49" s="16">
        <v>617</v>
      </c>
      <c r="DL49" s="16">
        <v>617</v>
      </c>
      <c r="DM49" s="16">
        <v>617</v>
      </c>
      <c r="DN49" s="16">
        <v>617</v>
      </c>
      <c r="DO49" s="16">
        <v>584</v>
      </c>
      <c r="DP49" s="16">
        <v>584</v>
      </c>
      <c r="DQ49" s="16">
        <v>584</v>
      </c>
      <c r="DR49" s="16">
        <v>584</v>
      </c>
      <c r="DS49" s="16">
        <v>584</v>
      </c>
      <c r="DT49" s="16">
        <v>584</v>
      </c>
      <c r="DU49" s="16">
        <v>584</v>
      </c>
    </row>
    <row r="50" spans="1:125" outlineLevel="1">
      <c r="A50" s="2">
        <f t="shared" si="43"/>
        <v>0.89583333333333381</v>
      </c>
      <c r="B50" s="4">
        <f t="shared" si="34"/>
        <v>0.89583333333333381</v>
      </c>
      <c r="D50" s="42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>
        <f t="shared" si="49"/>
        <v>0</v>
      </c>
      <c r="AE50" s="40">
        <f t="shared" si="49"/>
        <v>0</v>
      </c>
      <c r="AF50" s="40">
        <f t="shared" si="49"/>
        <v>0</v>
      </c>
      <c r="AG50" s="40">
        <f t="shared" si="49"/>
        <v>0</v>
      </c>
      <c r="AH50" s="40">
        <f t="shared" si="49"/>
        <v>0</v>
      </c>
      <c r="AI50" s="40">
        <f t="shared" si="49"/>
        <v>0</v>
      </c>
      <c r="AJ50" s="40">
        <f t="shared" si="49"/>
        <v>0</v>
      </c>
      <c r="AK50" s="40">
        <f t="shared" si="49"/>
        <v>0</v>
      </c>
      <c r="AL50" s="40">
        <f t="shared" si="49"/>
        <v>0</v>
      </c>
      <c r="AM50" s="40">
        <f t="shared" si="49"/>
        <v>51</v>
      </c>
      <c r="AN50" s="40">
        <f t="shared" si="47"/>
        <v>0</v>
      </c>
      <c r="AO50" s="40">
        <f t="shared" si="50"/>
        <v>0</v>
      </c>
      <c r="AP50" s="40">
        <f t="shared" si="50"/>
        <v>0</v>
      </c>
      <c r="AQ50" s="40">
        <f t="shared" si="50"/>
        <v>0</v>
      </c>
      <c r="AR50" s="40">
        <f t="shared" si="48"/>
        <v>0</v>
      </c>
      <c r="AS50" s="40">
        <f t="shared" si="44"/>
        <v>0</v>
      </c>
      <c r="AT50" s="40">
        <f>AT$6</f>
        <v>0</v>
      </c>
      <c r="AU50" s="32"/>
      <c r="AV50" s="40"/>
      <c r="AW50" s="40"/>
      <c r="AX50" s="40"/>
      <c r="AY50" s="41"/>
      <c r="AZ50" s="34"/>
      <c r="BA50" s="9">
        <f t="shared" si="37"/>
        <v>31.679999999999996</v>
      </c>
      <c r="BB50" s="6">
        <f>IF(BD50&lt;=0,0,Agents($A$1,$B$1,BD50*2,BE50))</f>
        <v>3</v>
      </c>
      <c r="BC50" s="9">
        <f t="shared" si="45"/>
        <v>822.54239999999982</v>
      </c>
      <c r="BD50" s="9">
        <f t="shared" si="38"/>
        <v>2.6607142857142856</v>
      </c>
      <c r="BE50" s="9">
        <f t="shared" si="39"/>
        <v>1560</v>
      </c>
      <c r="BF50" s="17">
        <f t="shared" si="40"/>
        <v>1</v>
      </c>
      <c r="BG50" s="17">
        <f t="shared" si="41"/>
        <v>7.2788909077644348E-2</v>
      </c>
      <c r="BH50" s="21">
        <f t="shared" si="42"/>
        <v>10.559999999999999</v>
      </c>
      <c r="BI50" s="22">
        <f t="shared" si="32"/>
        <v>5.3571428571428582E-2</v>
      </c>
      <c r="BJ50" s="30">
        <f t="shared" si="46"/>
        <v>5400</v>
      </c>
      <c r="BO50" s="11">
        <v>0.89583333333333337</v>
      </c>
      <c r="BP50" s="16">
        <v>1.25</v>
      </c>
      <c r="BQ50" s="16">
        <v>2.5</v>
      </c>
      <c r="BR50" s="16">
        <v>4</v>
      </c>
      <c r="BS50" s="16">
        <v>3.375</v>
      </c>
      <c r="BT50" s="16">
        <v>2.625</v>
      </c>
      <c r="BU50" s="16">
        <v>2.75</v>
      </c>
      <c r="BV50" s="16">
        <v>2.125</v>
      </c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S50" s="11">
        <v>0.89583333333333337</v>
      </c>
      <c r="CT50" s="16">
        <v>650</v>
      </c>
      <c r="CU50" s="16">
        <v>650</v>
      </c>
      <c r="CV50" s="16">
        <v>650</v>
      </c>
      <c r="CW50" s="16">
        <v>650</v>
      </c>
      <c r="CX50" s="16">
        <v>650</v>
      </c>
      <c r="CY50" s="16">
        <v>650</v>
      </c>
      <c r="CZ50" s="16">
        <v>650</v>
      </c>
      <c r="DA50" s="16">
        <v>584</v>
      </c>
      <c r="DB50" s="16">
        <v>584</v>
      </c>
      <c r="DC50" s="16">
        <v>584</v>
      </c>
      <c r="DD50" s="16">
        <v>584</v>
      </c>
      <c r="DE50" s="16">
        <v>584</v>
      </c>
      <c r="DF50" s="16">
        <v>584</v>
      </c>
      <c r="DG50" s="16">
        <v>584</v>
      </c>
      <c r="DH50" s="16">
        <v>617</v>
      </c>
      <c r="DI50" s="16">
        <v>617</v>
      </c>
      <c r="DJ50" s="16">
        <v>617</v>
      </c>
      <c r="DK50" s="16">
        <v>617</v>
      </c>
      <c r="DL50" s="16">
        <v>617</v>
      </c>
      <c r="DM50" s="16">
        <v>617</v>
      </c>
      <c r="DN50" s="16">
        <v>617</v>
      </c>
      <c r="DO50" s="16">
        <v>584</v>
      </c>
      <c r="DP50" s="16">
        <v>584</v>
      </c>
      <c r="DQ50" s="16">
        <v>584</v>
      </c>
      <c r="DR50" s="16">
        <v>584</v>
      </c>
      <c r="DS50" s="16">
        <v>584</v>
      </c>
      <c r="DT50" s="16">
        <v>584</v>
      </c>
      <c r="DU50" s="16">
        <v>584</v>
      </c>
    </row>
    <row r="51" spans="1:125" outlineLevel="1">
      <c r="A51" s="2">
        <f t="shared" si="43"/>
        <v>0.91666666666666718</v>
      </c>
      <c r="B51" s="4">
        <f t="shared" si="34"/>
        <v>0.91666666666666718</v>
      </c>
      <c r="D51" s="42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>
        <f t="shared" si="49"/>
        <v>0</v>
      </c>
      <c r="AF51" s="40">
        <f t="shared" si="49"/>
        <v>0</v>
      </c>
      <c r="AG51" s="40">
        <f t="shared" si="49"/>
        <v>0</v>
      </c>
      <c r="AH51" s="40">
        <f t="shared" si="49"/>
        <v>0</v>
      </c>
      <c r="AI51" s="40">
        <f t="shared" si="49"/>
        <v>0</v>
      </c>
      <c r="AJ51" s="40">
        <f t="shared" si="49"/>
        <v>0</v>
      </c>
      <c r="AK51" s="40">
        <f t="shared" si="49"/>
        <v>0</v>
      </c>
      <c r="AL51" s="40">
        <f t="shared" si="49"/>
        <v>0</v>
      </c>
      <c r="AM51" s="40">
        <f t="shared" si="49"/>
        <v>51</v>
      </c>
      <c r="AN51" s="40">
        <f t="shared" si="49"/>
        <v>0</v>
      </c>
      <c r="AO51" s="40">
        <f t="shared" si="47"/>
        <v>0</v>
      </c>
      <c r="AP51" s="40">
        <f t="shared" si="50"/>
        <v>0</v>
      </c>
      <c r="AQ51" s="40">
        <f t="shared" si="50"/>
        <v>0</v>
      </c>
      <c r="AR51" s="40">
        <f t="shared" si="50"/>
        <v>0</v>
      </c>
      <c r="AS51" s="40">
        <f t="shared" si="48"/>
        <v>0</v>
      </c>
      <c r="AT51" s="40">
        <f t="shared" si="44"/>
        <v>0</v>
      </c>
      <c r="AU51" s="40">
        <f>AU$6</f>
        <v>0</v>
      </c>
      <c r="AV51" s="32"/>
      <c r="AW51" s="40"/>
      <c r="AX51" s="40"/>
      <c r="AY51" s="41"/>
      <c r="AZ51" s="34"/>
      <c r="BA51" s="9">
        <f t="shared" si="37"/>
        <v>31.679999999999996</v>
      </c>
      <c r="BB51" s="6">
        <f>IF(BD51&lt;=0,0,Agents($A$1,$B$1,BD51*2,BE51))</f>
        <v>4</v>
      </c>
      <c r="BC51" s="9">
        <f t="shared" si="45"/>
        <v>766.1823999999998</v>
      </c>
      <c r="BD51" s="9">
        <f t="shared" si="38"/>
        <v>4.1607142857142856</v>
      </c>
      <c r="BE51" s="9">
        <f t="shared" si="39"/>
        <v>1560</v>
      </c>
      <c r="BF51" s="17">
        <f t="shared" si="40"/>
        <v>1</v>
      </c>
      <c r="BG51" s="17">
        <f t="shared" si="41"/>
        <v>0.11382424831390381</v>
      </c>
      <c r="BH51" s="21">
        <f t="shared" si="42"/>
        <v>7.919999999999999</v>
      </c>
      <c r="BI51" s="22">
        <f t="shared" si="32"/>
        <v>5.3571428571428582E-2</v>
      </c>
      <c r="BJ51" s="30">
        <f t="shared" si="46"/>
        <v>7200</v>
      </c>
      <c r="BO51" s="11">
        <v>0.91666666666666663</v>
      </c>
      <c r="BP51" s="16">
        <v>1.875</v>
      </c>
      <c r="BQ51" s="16">
        <v>3.25</v>
      </c>
      <c r="BR51" s="16">
        <v>3.875</v>
      </c>
      <c r="BS51" s="16">
        <v>5.375</v>
      </c>
      <c r="BT51" s="16">
        <v>5</v>
      </c>
      <c r="BU51" s="16">
        <v>6.75</v>
      </c>
      <c r="BV51" s="16">
        <v>3</v>
      </c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S51" s="11">
        <v>0.91666666666666663</v>
      </c>
      <c r="CT51" s="16">
        <v>650</v>
      </c>
      <c r="CU51" s="16">
        <v>650</v>
      </c>
      <c r="CV51" s="16">
        <v>650</v>
      </c>
      <c r="CW51" s="16">
        <v>650</v>
      </c>
      <c r="CX51" s="16">
        <v>650</v>
      </c>
      <c r="CY51" s="16">
        <v>650</v>
      </c>
      <c r="CZ51" s="16">
        <v>650</v>
      </c>
      <c r="DA51" s="16">
        <v>584</v>
      </c>
      <c r="DB51" s="16">
        <v>584</v>
      </c>
      <c r="DC51" s="16">
        <v>584</v>
      </c>
      <c r="DD51" s="16">
        <v>584</v>
      </c>
      <c r="DE51" s="16">
        <v>584</v>
      </c>
      <c r="DF51" s="16">
        <v>584</v>
      </c>
      <c r="DG51" s="16">
        <v>584</v>
      </c>
      <c r="DH51" s="16">
        <v>617</v>
      </c>
      <c r="DI51" s="16">
        <v>617</v>
      </c>
      <c r="DJ51" s="16">
        <v>617</v>
      </c>
      <c r="DK51" s="16">
        <v>617</v>
      </c>
      <c r="DL51" s="16">
        <v>617</v>
      </c>
      <c r="DM51" s="16">
        <v>617</v>
      </c>
      <c r="DN51" s="16">
        <v>617</v>
      </c>
      <c r="DO51" s="16">
        <v>584</v>
      </c>
      <c r="DP51" s="16">
        <v>584</v>
      </c>
      <c r="DQ51" s="16">
        <v>584</v>
      </c>
      <c r="DR51" s="16">
        <v>584</v>
      </c>
      <c r="DS51" s="16">
        <v>584</v>
      </c>
      <c r="DT51" s="16">
        <v>584</v>
      </c>
      <c r="DU51" s="16">
        <v>584</v>
      </c>
    </row>
    <row r="52" spans="1:125" outlineLevel="1">
      <c r="A52" s="2">
        <f t="shared" si="43"/>
        <v>0.93750000000000056</v>
      </c>
      <c r="B52" s="4">
        <f t="shared" si="34"/>
        <v>0.93750000000000056</v>
      </c>
      <c r="D52" s="42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>
        <f t="shared" si="49"/>
        <v>0</v>
      </c>
      <c r="AG52" s="40">
        <f t="shared" si="49"/>
        <v>0</v>
      </c>
      <c r="AH52" s="40">
        <f t="shared" si="49"/>
        <v>0</v>
      </c>
      <c r="AI52" s="40">
        <f t="shared" si="49"/>
        <v>0</v>
      </c>
      <c r="AJ52" s="40">
        <f t="shared" si="49"/>
        <v>0</v>
      </c>
      <c r="AK52" s="40">
        <f t="shared" si="49"/>
        <v>0</v>
      </c>
      <c r="AL52" s="40">
        <f t="shared" si="49"/>
        <v>0</v>
      </c>
      <c r="AM52" s="40">
        <f t="shared" si="49"/>
        <v>51</v>
      </c>
      <c r="AN52" s="40">
        <f t="shared" si="49"/>
        <v>0</v>
      </c>
      <c r="AO52" s="40">
        <f t="shared" si="49"/>
        <v>0</v>
      </c>
      <c r="AP52" s="40">
        <f t="shared" si="47"/>
        <v>0</v>
      </c>
      <c r="AQ52" s="40">
        <f t="shared" si="50"/>
        <v>0</v>
      </c>
      <c r="AR52" s="40">
        <f t="shared" si="50"/>
        <v>0</v>
      </c>
      <c r="AS52" s="40">
        <f t="shared" si="50"/>
        <v>0</v>
      </c>
      <c r="AT52" s="40">
        <f t="shared" si="48"/>
        <v>0</v>
      </c>
      <c r="AU52" s="40">
        <f t="shared" si="44"/>
        <v>0</v>
      </c>
      <c r="AV52" s="40">
        <f>AV$6</f>
        <v>0</v>
      </c>
      <c r="AW52" s="32"/>
      <c r="AX52" s="40"/>
      <c r="AY52" s="47"/>
      <c r="AZ52" s="34"/>
      <c r="BA52" s="9">
        <f t="shared" si="37"/>
        <v>31.679999999999996</v>
      </c>
      <c r="BB52" s="6">
        <f>IF(BD52&lt;=0,0,Agents($A$1,$B$1,BD52*2,BE52))</f>
        <v>13</v>
      </c>
      <c r="BC52" s="9">
        <f t="shared" si="45"/>
        <v>348.94239999999985</v>
      </c>
      <c r="BD52" s="9">
        <f t="shared" si="38"/>
        <v>13.892857142857142</v>
      </c>
      <c r="BE52" s="9">
        <f t="shared" si="39"/>
        <v>1560</v>
      </c>
      <c r="BF52" s="17">
        <f t="shared" si="40"/>
        <v>1</v>
      </c>
      <c r="BG52" s="17">
        <f t="shared" si="41"/>
        <v>0.38006556034088135</v>
      </c>
      <c r="BH52" s="21">
        <f t="shared" si="42"/>
        <v>2.4369230769230765</v>
      </c>
      <c r="BI52" s="22">
        <f t="shared" si="32"/>
        <v>5.3571428571428582E-2</v>
      </c>
      <c r="BJ52" s="30">
        <f t="shared" si="46"/>
        <v>23400</v>
      </c>
      <c r="BO52" s="11">
        <v>0.9375</v>
      </c>
      <c r="BP52" s="16">
        <v>1.875</v>
      </c>
      <c r="BQ52" s="16">
        <v>12.75</v>
      </c>
      <c r="BR52" s="16">
        <v>16.5</v>
      </c>
      <c r="BS52" s="16">
        <v>23.75</v>
      </c>
      <c r="BT52" s="16">
        <v>18.5</v>
      </c>
      <c r="BU52" s="16">
        <v>20.25</v>
      </c>
      <c r="BV52" s="16">
        <v>3.625</v>
      </c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S52" s="11">
        <v>0.9375</v>
      </c>
      <c r="CT52" s="16">
        <v>650</v>
      </c>
      <c r="CU52" s="16">
        <v>650</v>
      </c>
      <c r="CV52" s="16">
        <v>650</v>
      </c>
      <c r="CW52" s="16">
        <v>650</v>
      </c>
      <c r="CX52" s="16">
        <v>650</v>
      </c>
      <c r="CY52" s="16">
        <v>650</v>
      </c>
      <c r="CZ52" s="16">
        <v>650</v>
      </c>
      <c r="DA52" s="16">
        <v>584</v>
      </c>
      <c r="DB52" s="16">
        <v>584</v>
      </c>
      <c r="DC52" s="16">
        <v>584</v>
      </c>
      <c r="DD52" s="16">
        <v>584</v>
      </c>
      <c r="DE52" s="16">
        <v>584</v>
      </c>
      <c r="DF52" s="16">
        <v>584</v>
      </c>
      <c r="DG52" s="16">
        <v>584</v>
      </c>
      <c r="DH52" s="16">
        <v>617</v>
      </c>
      <c r="DI52" s="16">
        <v>617</v>
      </c>
      <c r="DJ52" s="16">
        <v>617</v>
      </c>
      <c r="DK52" s="16">
        <v>617</v>
      </c>
      <c r="DL52" s="16">
        <v>617</v>
      </c>
      <c r="DM52" s="16">
        <v>617</v>
      </c>
      <c r="DN52" s="16">
        <v>617</v>
      </c>
      <c r="DO52" s="16">
        <v>584</v>
      </c>
      <c r="DP52" s="16">
        <v>584</v>
      </c>
      <c r="DQ52" s="16">
        <v>584</v>
      </c>
      <c r="DR52" s="16">
        <v>584</v>
      </c>
      <c r="DS52" s="16">
        <v>584</v>
      </c>
      <c r="DT52" s="16">
        <v>584</v>
      </c>
      <c r="DU52" s="16">
        <v>584</v>
      </c>
    </row>
    <row r="53" spans="1:125" outlineLevel="1">
      <c r="A53" s="2">
        <f t="shared" si="43"/>
        <v>0.95833333333333393</v>
      </c>
      <c r="B53" s="4">
        <f t="shared" si="34"/>
        <v>0.95833333333333393</v>
      </c>
      <c r="D53" s="39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>
        <f t="shared" si="49"/>
        <v>0</v>
      </c>
      <c r="AH53" s="40">
        <f t="shared" si="49"/>
        <v>0</v>
      </c>
      <c r="AI53" s="40">
        <f t="shared" si="49"/>
        <v>0</v>
      </c>
      <c r="AJ53" s="40">
        <f t="shared" si="49"/>
        <v>0</v>
      </c>
      <c r="AK53" s="40">
        <f t="shared" si="49"/>
        <v>0</v>
      </c>
      <c r="AL53" s="40">
        <f t="shared" si="49"/>
        <v>0</v>
      </c>
      <c r="AM53" s="40">
        <f t="shared" si="49"/>
        <v>51</v>
      </c>
      <c r="AN53" s="40">
        <f t="shared" si="49"/>
        <v>0</v>
      </c>
      <c r="AO53" s="40">
        <f t="shared" si="49"/>
        <v>0</v>
      </c>
      <c r="AP53" s="40">
        <f t="shared" si="49"/>
        <v>0</v>
      </c>
      <c r="AQ53" s="40">
        <f t="shared" si="47"/>
        <v>0</v>
      </c>
      <c r="AR53" s="40">
        <f t="shared" si="50"/>
        <v>0</v>
      </c>
      <c r="AS53" s="40">
        <f t="shared" si="50"/>
        <v>0</v>
      </c>
      <c r="AT53" s="40">
        <f t="shared" si="50"/>
        <v>0</v>
      </c>
      <c r="AU53" s="40">
        <f t="shared" si="48"/>
        <v>0</v>
      </c>
      <c r="AV53" s="40">
        <f t="shared" si="44"/>
        <v>0</v>
      </c>
      <c r="AW53" s="40">
        <f t="shared" si="44"/>
        <v>0</v>
      </c>
      <c r="AX53" s="32"/>
      <c r="AY53" s="41"/>
      <c r="AZ53" s="34"/>
      <c r="BA53" s="9">
        <f t="shared" si="37"/>
        <v>31.679999999999996</v>
      </c>
      <c r="BB53" s="6">
        <f>IF(BD53&lt;=0,0,Agents($A$1,$B$1,BD53*2,BE53))</f>
        <v>19</v>
      </c>
      <c r="BC53" s="9">
        <f t="shared" si="45"/>
        <v>160.78239999999991</v>
      </c>
      <c r="BD53" s="9">
        <f t="shared" si="38"/>
        <v>21</v>
      </c>
      <c r="BE53" s="9">
        <f t="shared" si="39"/>
        <v>1560</v>
      </c>
      <c r="BF53" s="17">
        <f t="shared" si="40"/>
        <v>1</v>
      </c>
      <c r="BG53" s="17">
        <f t="shared" si="41"/>
        <v>0.57449495792388916</v>
      </c>
      <c r="BH53" s="21">
        <f t="shared" si="42"/>
        <v>1.6673684210526314</v>
      </c>
      <c r="BI53" s="22">
        <f t="shared" si="32"/>
        <v>5.3571428571428582E-2</v>
      </c>
      <c r="BJ53" s="30">
        <f t="shared" si="46"/>
        <v>34200</v>
      </c>
      <c r="BO53" s="11">
        <v>0.95833333333333337</v>
      </c>
      <c r="BP53" s="16">
        <v>1.625</v>
      </c>
      <c r="BQ53" s="16">
        <v>21.875</v>
      </c>
      <c r="BR53" s="16">
        <v>25.375</v>
      </c>
      <c r="BS53" s="16">
        <v>38.5</v>
      </c>
      <c r="BT53" s="16">
        <v>29.375</v>
      </c>
      <c r="BU53" s="16">
        <v>26</v>
      </c>
      <c r="BV53" s="16">
        <v>4.25</v>
      </c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S53" s="11">
        <v>0.95833333333333337</v>
      </c>
      <c r="CT53" s="16">
        <v>650</v>
      </c>
      <c r="CU53" s="16">
        <v>650</v>
      </c>
      <c r="CV53" s="16">
        <v>650</v>
      </c>
      <c r="CW53" s="16">
        <v>650</v>
      </c>
      <c r="CX53" s="16">
        <v>650</v>
      </c>
      <c r="CY53" s="16">
        <v>650</v>
      </c>
      <c r="CZ53" s="16">
        <v>650</v>
      </c>
      <c r="DA53" s="16">
        <v>584</v>
      </c>
      <c r="DB53" s="16">
        <v>584</v>
      </c>
      <c r="DC53" s="16">
        <v>584</v>
      </c>
      <c r="DD53" s="16">
        <v>584</v>
      </c>
      <c r="DE53" s="16">
        <v>584</v>
      </c>
      <c r="DF53" s="16">
        <v>584</v>
      </c>
      <c r="DG53" s="16">
        <v>584</v>
      </c>
      <c r="DH53" s="16">
        <v>617</v>
      </c>
      <c r="DI53" s="16">
        <v>617</v>
      </c>
      <c r="DJ53" s="16">
        <v>617</v>
      </c>
      <c r="DK53" s="16">
        <v>617</v>
      </c>
      <c r="DL53" s="16">
        <v>617</v>
      </c>
      <c r="DM53" s="16">
        <v>617</v>
      </c>
      <c r="DN53" s="16">
        <v>617</v>
      </c>
      <c r="DO53" s="16">
        <v>584</v>
      </c>
      <c r="DP53" s="16">
        <v>584</v>
      </c>
      <c r="DQ53" s="16">
        <v>584</v>
      </c>
      <c r="DR53" s="16">
        <v>584</v>
      </c>
      <c r="DS53" s="16">
        <v>584</v>
      </c>
      <c r="DT53" s="16">
        <v>584</v>
      </c>
      <c r="DU53" s="16">
        <v>584</v>
      </c>
    </row>
    <row r="54" spans="1:125" outlineLevel="1">
      <c r="A54" s="2">
        <f t="shared" si="43"/>
        <v>0.9791666666666673</v>
      </c>
      <c r="B54" s="4">
        <f t="shared" si="34"/>
        <v>0.9791666666666673</v>
      </c>
      <c r="C54" s="27"/>
      <c r="D54" s="45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>
        <f t="shared" si="49"/>
        <v>0</v>
      </c>
      <c r="AI54" s="43">
        <f t="shared" si="49"/>
        <v>0</v>
      </c>
      <c r="AJ54" s="43">
        <f t="shared" si="49"/>
        <v>0</v>
      </c>
      <c r="AK54" s="43">
        <f t="shared" si="49"/>
        <v>0</v>
      </c>
      <c r="AL54" s="43">
        <f t="shared" si="49"/>
        <v>0</v>
      </c>
      <c r="AM54" s="43">
        <f t="shared" si="49"/>
        <v>51</v>
      </c>
      <c r="AN54" s="43">
        <f t="shared" si="49"/>
        <v>0</v>
      </c>
      <c r="AO54" s="43">
        <f t="shared" si="49"/>
        <v>0</v>
      </c>
      <c r="AP54" s="43">
        <f t="shared" si="49"/>
        <v>0</v>
      </c>
      <c r="AQ54" s="43">
        <f t="shared" si="49"/>
        <v>0</v>
      </c>
      <c r="AR54" s="43">
        <f t="shared" si="47"/>
        <v>0</v>
      </c>
      <c r="AS54" s="43">
        <f t="shared" si="50"/>
        <v>0</v>
      </c>
      <c r="AT54" s="43">
        <f t="shared" si="50"/>
        <v>0</v>
      </c>
      <c r="AU54" s="43">
        <f t="shared" si="50"/>
        <v>0</v>
      </c>
      <c r="AV54" s="43">
        <f t="shared" si="48"/>
        <v>0</v>
      </c>
      <c r="AW54" s="43">
        <f t="shared" si="48"/>
        <v>0</v>
      </c>
      <c r="AX54" s="43">
        <f t="shared" si="48"/>
        <v>0</v>
      </c>
      <c r="AY54" s="44"/>
      <c r="AZ54" s="34"/>
      <c r="BA54" s="9">
        <f t="shared" si="37"/>
        <v>31.679999999999996</v>
      </c>
      <c r="BB54" s="6">
        <f>IF(BD54&lt;=0,0,Agents($A$1,$B$1,BD54*2,BE54))</f>
        <v>20</v>
      </c>
      <c r="BC54" s="9">
        <f t="shared" si="45"/>
        <v>136.4223999999999</v>
      </c>
      <c r="BD54" s="9">
        <f t="shared" si="38"/>
        <v>21.892857142857142</v>
      </c>
      <c r="BE54" s="9">
        <f t="shared" si="39"/>
        <v>1560</v>
      </c>
      <c r="BF54" s="17">
        <f t="shared" si="40"/>
        <v>1</v>
      </c>
      <c r="BG54" s="17">
        <f t="shared" si="41"/>
        <v>0.59892070293426514</v>
      </c>
      <c r="BH54" s="21">
        <f t="shared" si="42"/>
        <v>1.5839999999999999</v>
      </c>
      <c r="BI54" s="22">
        <f t="shared" si="32"/>
        <v>5.3571428571428582E-2</v>
      </c>
      <c r="BJ54" s="30">
        <f t="shared" si="46"/>
        <v>36000</v>
      </c>
      <c r="BO54" s="11">
        <v>0.97916666666666663</v>
      </c>
      <c r="BP54" s="16">
        <v>2.875</v>
      </c>
      <c r="BQ54" s="16">
        <v>22.25</v>
      </c>
      <c r="BR54" s="16">
        <v>28.125</v>
      </c>
      <c r="BS54" s="16">
        <v>33.625</v>
      </c>
      <c r="BT54" s="16">
        <v>30.25</v>
      </c>
      <c r="BU54" s="16">
        <v>29</v>
      </c>
      <c r="BV54" s="16">
        <v>7.125</v>
      </c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S54" s="11">
        <v>0.97916666666666663</v>
      </c>
      <c r="CT54" s="16">
        <v>650</v>
      </c>
      <c r="CU54" s="16">
        <v>650</v>
      </c>
      <c r="CV54" s="16">
        <v>650</v>
      </c>
      <c r="CW54" s="16">
        <v>650</v>
      </c>
      <c r="CX54" s="16">
        <v>650</v>
      </c>
      <c r="CY54" s="16">
        <v>650</v>
      </c>
      <c r="CZ54" s="16">
        <v>650</v>
      </c>
      <c r="DA54" s="16">
        <v>584</v>
      </c>
      <c r="DB54" s="16">
        <v>584</v>
      </c>
      <c r="DC54" s="16">
        <v>584</v>
      </c>
      <c r="DD54" s="16">
        <v>584</v>
      </c>
      <c r="DE54" s="16">
        <v>584</v>
      </c>
      <c r="DF54" s="16">
        <v>584</v>
      </c>
      <c r="DG54" s="16">
        <v>584</v>
      </c>
      <c r="DH54" s="16">
        <v>617</v>
      </c>
      <c r="DI54" s="16">
        <v>617</v>
      </c>
      <c r="DJ54" s="16">
        <v>617</v>
      </c>
      <c r="DK54" s="16">
        <v>617</v>
      </c>
      <c r="DL54" s="16">
        <v>617</v>
      </c>
      <c r="DM54" s="16">
        <v>617</v>
      </c>
      <c r="DN54" s="16">
        <v>617</v>
      </c>
      <c r="DO54" s="16">
        <v>584</v>
      </c>
      <c r="DP54" s="16">
        <v>584</v>
      </c>
      <c r="DQ54" s="16">
        <v>584</v>
      </c>
      <c r="DR54" s="16">
        <v>584</v>
      </c>
      <c r="DS54" s="16">
        <v>584</v>
      </c>
      <c r="DT54" s="16">
        <v>584</v>
      </c>
      <c r="DU54" s="16">
        <v>584</v>
      </c>
    </row>
    <row r="55" spans="1:125">
      <c r="BO55" s="12" t="s">
        <v>19</v>
      </c>
      <c r="BP55" s="16">
        <f>SUM(BP7:BP54)</f>
        <v>85.125</v>
      </c>
      <c r="BQ55" s="16">
        <f t="shared" ref="BQ55:CQ55" si="51">SUM(BQ7:BQ54)</f>
        <v>274.25</v>
      </c>
      <c r="BR55" s="16">
        <f t="shared" si="51"/>
        <v>500.75</v>
      </c>
      <c r="BS55" s="16">
        <f t="shared" si="51"/>
        <v>622</v>
      </c>
      <c r="BT55" s="16">
        <f t="shared" si="51"/>
        <v>582.5</v>
      </c>
      <c r="BU55" s="16">
        <f t="shared" si="51"/>
        <v>536.875</v>
      </c>
      <c r="BV55" s="16">
        <f t="shared" si="51"/>
        <v>326.125</v>
      </c>
      <c r="BW55" s="16">
        <f t="shared" si="51"/>
        <v>0</v>
      </c>
      <c r="BX55" s="16">
        <f t="shared" si="51"/>
        <v>0</v>
      </c>
      <c r="BY55" s="16">
        <f t="shared" si="51"/>
        <v>0</v>
      </c>
      <c r="BZ55" s="16">
        <f t="shared" si="51"/>
        <v>0</v>
      </c>
      <c r="CA55" s="16">
        <f t="shared" si="51"/>
        <v>0</v>
      </c>
      <c r="CB55" s="16">
        <f t="shared" si="51"/>
        <v>0</v>
      </c>
      <c r="CC55" s="16">
        <f t="shared" si="51"/>
        <v>0</v>
      </c>
      <c r="CD55" s="16">
        <f t="shared" si="51"/>
        <v>0</v>
      </c>
      <c r="CE55" s="16">
        <f t="shared" si="51"/>
        <v>0</v>
      </c>
      <c r="CF55" s="16">
        <f t="shared" si="51"/>
        <v>0</v>
      </c>
      <c r="CG55" s="16">
        <f t="shared" si="51"/>
        <v>0</v>
      </c>
      <c r="CH55" s="16">
        <f t="shared" si="51"/>
        <v>0</v>
      </c>
      <c r="CI55" s="16">
        <f t="shared" si="51"/>
        <v>0</v>
      </c>
      <c r="CJ55" s="16">
        <f t="shared" si="51"/>
        <v>0</v>
      </c>
      <c r="CK55" s="16">
        <f t="shared" si="51"/>
        <v>0</v>
      </c>
      <c r="CL55" s="16">
        <f t="shared" si="51"/>
        <v>0</v>
      </c>
      <c r="CM55" s="16">
        <f t="shared" si="51"/>
        <v>0</v>
      </c>
      <c r="CN55" s="16">
        <f t="shared" si="51"/>
        <v>0</v>
      </c>
      <c r="CO55" s="16">
        <f t="shared" si="51"/>
        <v>0</v>
      </c>
      <c r="CP55" s="16">
        <f t="shared" si="51"/>
        <v>0</v>
      </c>
      <c r="CQ55" s="16">
        <f t="shared" si="51"/>
        <v>0</v>
      </c>
      <c r="CS55" s="12" t="s">
        <v>19</v>
      </c>
      <c r="CT55" s="10">
        <f>SUMPRODUCT(CT7:CT54,BP7:BP54)/BP55</f>
        <v>650</v>
      </c>
      <c r="CU55" s="10">
        <f t="shared" ref="CU55:DU55" si="52">SUMPRODUCT(CU7:CU54,BQ7:BQ54)/BQ55</f>
        <v>650</v>
      </c>
      <c r="CV55" s="10">
        <f t="shared" si="52"/>
        <v>650</v>
      </c>
      <c r="CW55" s="10">
        <f t="shared" si="52"/>
        <v>650</v>
      </c>
      <c r="CX55" s="10">
        <f t="shared" si="52"/>
        <v>650</v>
      </c>
      <c r="CY55" s="10">
        <f t="shared" si="52"/>
        <v>650</v>
      </c>
      <c r="CZ55" s="10">
        <f t="shared" si="52"/>
        <v>650</v>
      </c>
      <c r="DA55" s="10" t="e">
        <f t="shared" si="52"/>
        <v>#DIV/0!</v>
      </c>
      <c r="DB55" s="10" t="e">
        <f t="shared" si="52"/>
        <v>#DIV/0!</v>
      </c>
      <c r="DC55" s="10" t="e">
        <f t="shared" si="52"/>
        <v>#DIV/0!</v>
      </c>
      <c r="DD55" s="10" t="e">
        <f t="shared" si="52"/>
        <v>#DIV/0!</v>
      </c>
      <c r="DE55" s="10" t="e">
        <f t="shared" si="52"/>
        <v>#DIV/0!</v>
      </c>
      <c r="DF55" s="10" t="e">
        <f t="shared" si="52"/>
        <v>#DIV/0!</v>
      </c>
      <c r="DG55" s="10" t="e">
        <f t="shared" si="52"/>
        <v>#DIV/0!</v>
      </c>
      <c r="DH55" s="10" t="e">
        <f t="shared" si="52"/>
        <v>#DIV/0!</v>
      </c>
      <c r="DI55" s="10" t="e">
        <f t="shared" si="52"/>
        <v>#DIV/0!</v>
      </c>
      <c r="DJ55" s="10" t="e">
        <f t="shared" si="52"/>
        <v>#DIV/0!</v>
      </c>
      <c r="DK55" s="10" t="e">
        <f t="shared" si="52"/>
        <v>#DIV/0!</v>
      </c>
      <c r="DL55" s="10" t="e">
        <f t="shared" si="52"/>
        <v>#DIV/0!</v>
      </c>
      <c r="DM55" s="10" t="e">
        <f t="shared" si="52"/>
        <v>#DIV/0!</v>
      </c>
      <c r="DN55" s="10" t="e">
        <f t="shared" si="52"/>
        <v>#DIV/0!</v>
      </c>
      <c r="DO55" s="10" t="e">
        <f t="shared" si="52"/>
        <v>#DIV/0!</v>
      </c>
      <c r="DP55" s="10" t="e">
        <f t="shared" si="52"/>
        <v>#DIV/0!</v>
      </c>
      <c r="DQ55" s="10" t="e">
        <f t="shared" si="52"/>
        <v>#DIV/0!</v>
      </c>
      <c r="DR55" s="10" t="e">
        <f t="shared" si="52"/>
        <v>#DIV/0!</v>
      </c>
      <c r="DS55" s="10" t="e">
        <f t="shared" si="52"/>
        <v>#DIV/0!</v>
      </c>
      <c r="DT55" s="10" t="e">
        <f t="shared" si="52"/>
        <v>#DIV/0!</v>
      </c>
      <c r="DU55" s="10" t="e">
        <f t="shared" si="52"/>
        <v>#DIV/0!</v>
      </c>
    </row>
  </sheetData>
  <mergeCells count="1">
    <mergeCell ref="D3:AY3"/>
  </mergeCells>
  <conditionalFormatting sqref="D7:AY54">
    <cfRule type="cellIs" dxfId="1" priority="2" operator="greaterThan">
      <formula>0</formula>
    </cfRule>
  </conditionalFormatting>
  <conditionalFormatting sqref="D6:AY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IBM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119859</dc:creator>
  <cp:keywords/>
  <dc:description/>
  <cp:lastModifiedBy>Martin Prabhu</cp:lastModifiedBy>
  <cp:revision/>
  <dcterms:created xsi:type="dcterms:W3CDTF">2014-06-11T13:37:49Z</dcterms:created>
  <dcterms:modified xsi:type="dcterms:W3CDTF">2025-07-15T01:58:02Z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4820e8-223f-4ed2-bd95-81c83f641284_Enabled">
    <vt:lpwstr>True</vt:lpwstr>
  </property>
  <property fmtid="{D5CDD505-2E9C-101B-9397-08002B2CF9AE}" pid="3" name="MSIP_Label_b24820e8-223f-4ed2-bd95-81c83f641284_SiteId">
    <vt:lpwstr>3cbcc3d3-094d-4006-9849-0d11d61f484d</vt:lpwstr>
  </property>
  <property fmtid="{D5CDD505-2E9C-101B-9397-08002B2CF9AE}" pid="4" name="MSIP_Label_b24820e8-223f-4ed2-bd95-81c83f641284_Owner">
    <vt:lpwstr>vn51gkc@homeoffice.wal-mart.com</vt:lpwstr>
  </property>
  <property fmtid="{D5CDD505-2E9C-101B-9397-08002B2CF9AE}" pid="5" name="MSIP_Label_b24820e8-223f-4ed2-bd95-81c83f641284_SetDate">
    <vt:lpwstr>2021-11-20T16:33:49.1729937Z</vt:lpwstr>
  </property>
  <property fmtid="{D5CDD505-2E9C-101B-9397-08002B2CF9AE}" pid="6" name="MSIP_Label_b24820e8-223f-4ed2-bd95-81c83f641284_Name">
    <vt:lpwstr>Sensitive</vt:lpwstr>
  </property>
  <property fmtid="{D5CDD505-2E9C-101B-9397-08002B2CF9AE}" pid="7" name="MSIP_Label_b24820e8-223f-4ed2-bd95-81c83f641284_Application">
    <vt:lpwstr>Microsoft Azure Information Protection</vt:lpwstr>
  </property>
  <property fmtid="{D5CDD505-2E9C-101B-9397-08002B2CF9AE}" pid="8" name="MSIP_Label_b24820e8-223f-4ed2-bd95-81c83f641284_Extended_MSFT_Method">
    <vt:lpwstr>Automatic</vt:lpwstr>
  </property>
  <property fmtid="{D5CDD505-2E9C-101B-9397-08002B2CF9AE}" pid="9" name="Sensitivity">
    <vt:lpwstr>Sensitive</vt:lpwstr>
  </property>
</Properties>
</file>